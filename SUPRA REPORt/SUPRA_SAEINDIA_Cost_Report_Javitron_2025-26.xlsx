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Penalty Calculations" sheetId="2" state="visible" r:id="rId2"/>
    <sheet name="Table of Contents" sheetId="3" state="visible" r:id="rId3"/>
    <sheet name="Cost Summary" sheetId="4" state="visible" r:id="rId4"/>
    <sheet name="BOM" sheetId="5" state="visible" r:id="rId5"/>
    <sheet name="BR - Brakes" sheetId="6" state="visible" r:id="rId6"/>
    <sheet name="EN - Engine &amp; Drivetrain" sheetId="7" state="visible" r:id="rId7"/>
    <sheet name="FR - Frame &amp; Body" sheetId="8" state="visible" r:id="rId8"/>
    <sheet name="EL - Electrical" sheetId="9" state="visible" r:id="rId9"/>
    <sheet name="MS - Misc" sheetId="10" state="visible" r:id="rId10"/>
    <sheet name="ST - Steering" sheetId="11" state="visible" r:id="rId11"/>
    <sheet name="SU - Suspension" sheetId="12" state="visible" r:id="rId12"/>
    <sheet name="WT - Wheels" sheetId="13" state="visible" r:id="rId13"/>
  </sheets>
  <definedNames>
    <definedName name="_xlnm._FilterDatabase" localSheetId="4" hidden="1">'BOM'!$B$5:$I$56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name val="Arial"/>
      <b val="1"/>
      <sz val="20"/>
    </font>
    <font>
      <b val="1"/>
    </font>
    <font>
      <name val="Arial"/>
      <b val="1"/>
      <sz val="16"/>
    </font>
    <font>
      <name val="Arial"/>
      <b val="1"/>
      <color rgb="00FFFFFF"/>
      <sz val="11"/>
    </font>
    <font>
      <name val="Arial"/>
      <b val="1"/>
      <sz val="12"/>
    </font>
    <font>
      <b val="1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0" fillId="0" borderId="4" pivotButton="0" quotePrefix="0" xfId="0"/>
    <xf numFmtId="164" fontId="2" fillId="3" borderId="1" pivotButton="0" quotePrefix="0" xfId="0"/>
    <xf numFmtId="164" fontId="4" fillId="2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15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5" customWidth="1" min="4" max="4"/>
    <col width="30" customWidth="1" min="5" max="5"/>
  </cols>
  <sheetData>
    <row r="2">
      <c r="B2" s="1" t="inlineStr">
        <is>
          <t>SUPRA SAEINDIA Cost Report</t>
        </is>
      </c>
    </row>
    <row r="5">
      <c r="B5" s="2" t="inlineStr">
        <is>
          <t>University:</t>
        </is>
      </c>
      <c r="E5" t="inlineStr">
        <is>
          <t>Ajeenkya DY Patil University</t>
        </is>
      </c>
    </row>
    <row r="7">
      <c r="B7" s="2" t="inlineStr">
        <is>
          <t>Team Name:</t>
        </is>
      </c>
      <c r="E7" t="inlineStr">
        <is>
          <t>Javitron</t>
        </is>
      </c>
    </row>
    <row r="9">
      <c r="B9" s="2" t="inlineStr">
        <is>
          <t>Car Number:</t>
        </is>
      </c>
    </row>
    <row r="11">
      <c r="B11" s="2" t="inlineStr">
        <is>
          <t>Season / Year:</t>
        </is>
      </c>
      <c r="E11" t="inlineStr">
        <is>
          <t>2025-26</t>
        </is>
      </c>
    </row>
    <row r="13">
      <c r="B13" s="2" t="inlineStr">
        <is>
          <t>Vehicle Class:</t>
        </is>
      </c>
      <c r="E13" t="inlineStr">
        <is>
          <t>Formula Student / SUPRA</t>
        </is>
      </c>
    </row>
    <row r="15">
      <c r="B15" s="2" t="inlineStr">
        <is>
          <t>Report Date:</t>
        </is>
      </c>
      <c r="E15" t="inlineStr">
        <is>
          <t>2026-04-21</t>
        </is>
      </c>
    </row>
  </sheetData>
  <mergeCells count="6">
    <mergeCell ref="B11:D11"/>
    <mergeCell ref="B5:D5"/>
    <mergeCell ref="B9:D9"/>
    <mergeCell ref="B13:D13"/>
    <mergeCell ref="B15:D15"/>
    <mergeCell ref="B7:D7"/>
  </mergeCells>
  <pageMargins left="0.5" right="0.5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20" customWidth="1" min="5" max="5"/>
  </cols>
  <sheetData>
    <row r="2">
      <c r="B2" s="3" t="inlineStr">
        <is>
          <t>Penalty Calculations</t>
        </is>
      </c>
    </row>
    <row r="5">
      <c r="B5" s="10" t="inlineStr">
        <is>
          <t>Method A: Direct Penalty</t>
        </is>
      </c>
    </row>
    <row r="6">
      <c r="B6" s="16" t="inlineStr">
        <is>
          <t>Category</t>
        </is>
      </c>
      <c r="C6" s="16" t="inlineStr">
        <is>
          <t>Points per Item</t>
        </is>
      </c>
      <c r="D6" s="16" t="inlineStr">
        <is>
          <t>Count</t>
        </is>
      </c>
      <c r="E6" s="16" t="inlineStr">
        <is>
          <t>Total Points</t>
        </is>
      </c>
    </row>
    <row r="7">
      <c r="B7" t="inlineStr">
        <is>
          <t>Missing / Inaccurate Material</t>
        </is>
      </c>
      <c r="C7" t="n">
        <v>1</v>
      </c>
      <c r="D7">
        <f>0</f>
        <v/>
      </c>
      <c r="E7">
        <f>C7*D7</f>
        <v/>
      </c>
    </row>
    <row r="8">
      <c r="B8" t="inlineStr">
        <is>
          <t>Missing / Inaccurate Process</t>
        </is>
      </c>
      <c r="C8" t="n">
        <v>1</v>
      </c>
      <c r="D8">
        <f>0</f>
        <v/>
      </c>
      <c r="E8">
        <f>C8*D8</f>
        <v/>
      </c>
    </row>
    <row r="9">
      <c r="B9" t="inlineStr">
        <is>
          <t>Missing / Inaccurate Fastener</t>
        </is>
      </c>
      <c r="C9" t="n">
        <v>1</v>
      </c>
      <c r="D9">
        <f>0</f>
        <v/>
      </c>
      <c r="E9">
        <f>C9*D9</f>
        <v/>
      </c>
    </row>
    <row r="10">
      <c r="B10" t="inlineStr">
        <is>
          <t>Missing / Inaccurate Part</t>
        </is>
      </c>
      <c r="C10" t="n">
        <v>3</v>
      </c>
      <c r="D10">
        <f>0</f>
        <v/>
      </c>
      <c r="E10">
        <f>C10*D10</f>
        <v/>
      </c>
    </row>
    <row r="11">
      <c r="B11" t="inlineStr">
        <is>
          <t>Missing / Inaccurate Assembly</t>
        </is>
      </c>
      <c r="C11" t="n">
        <v>5</v>
      </c>
      <c r="D11">
        <f>0</f>
        <v/>
      </c>
      <c r="E11">
        <f>C11*D11</f>
        <v/>
      </c>
    </row>
    <row r="12">
      <c r="B12" s="2" t="inlineStr">
        <is>
          <t>Method A Total:</t>
        </is>
      </c>
      <c r="E12" s="2">
        <f>SUM(E7:E11)</f>
        <v/>
      </c>
    </row>
    <row r="14">
      <c r="B14" s="10" t="inlineStr">
        <is>
          <t>Method B: Cost Penalty</t>
        </is>
      </c>
    </row>
    <row r="15">
      <c r="B15" t="inlineStr">
        <is>
          <t>Correct Cost (₹)</t>
        </is>
      </c>
      <c r="C15" t="inlineStr">
        <is>
          <t>Your Cost (₹)</t>
        </is>
      </c>
      <c r="D15" t="inlineStr">
        <is>
          <t>Difference</t>
        </is>
      </c>
      <c r="E15" t="inlineStr">
        <is>
          <t>Penalty (2 × Diff)</t>
        </is>
      </c>
    </row>
    <row r="16">
      <c r="B16">
        <f>0</f>
        <v/>
      </c>
      <c r="C16">
        <f>0</f>
        <v/>
      </c>
      <c r="D16">
        <f>B16-C16</f>
        <v/>
      </c>
      <c r="E16">
        <f>2*D16</f>
        <v/>
      </c>
    </row>
  </sheetData>
  <pageMargins left="0.5" right="0.5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workbookViewId="0">
      <selection activeCell="A1" sqref="A1"/>
    </sheetView>
  </sheetViews>
  <sheetFormatPr baseColWidth="8" defaultRowHeight="15"/>
  <cols>
    <col width="25" customWidth="1" min="2" max="2"/>
    <col width="40" customWidth="1" min="3" max="3"/>
  </cols>
  <sheetData>
    <row r="2">
      <c r="B2" s="3" t="inlineStr">
        <is>
          <t>Table of Contents</t>
        </is>
      </c>
    </row>
    <row r="5">
      <c r="B5" s="2" t="inlineStr">
        <is>
          <t>Sheet Name</t>
        </is>
      </c>
      <c r="C5" s="2" t="inlineStr">
        <is>
          <t>Description</t>
        </is>
      </c>
    </row>
    <row r="7">
      <c r="B7" t="inlineStr">
        <is>
          <t>Cover Page</t>
        </is>
      </c>
      <c r="C7" t="inlineStr">
        <is>
          <t>Team information and report details</t>
        </is>
      </c>
    </row>
    <row r="8">
      <c r="B8" t="inlineStr">
        <is>
          <t>Table of Contents</t>
        </is>
      </c>
      <c r="C8" t="inlineStr">
        <is>
          <t>Navigation</t>
        </is>
      </c>
    </row>
    <row r="9">
      <c r="B9" t="inlineStr">
        <is>
          <t>Cost Summary</t>
        </is>
      </c>
      <c r="C9" t="inlineStr">
        <is>
          <t>Overall cost breakdown</t>
        </is>
      </c>
    </row>
    <row r="10">
      <c r="B10" t="inlineStr">
        <is>
          <t>BOM</t>
        </is>
      </c>
      <c r="C10" t="inlineStr">
        <is>
          <t>Bill of Materials</t>
        </is>
      </c>
    </row>
    <row r="11">
      <c r="B11" t="inlineStr">
        <is>
          <t>BR - Brakes</t>
        </is>
      </c>
      <c r="C11" t="inlineStr">
        <is>
          <t>Brakes commodity details</t>
        </is>
      </c>
    </row>
    <row r="12">
      <c r="B12" t="inlineStr">
        <is>
          <t>EN - Engine &amp; Drivetrain</t>
        </is>
      </c>
      <c r="C12" t="inlineStr">
        <is>
          <t>Engine &amp; Drivetrain commodity details</t>
        </is>
      </c>
    </row>
    <row r="13">
      <c r="B13" t="inlineStr">
        <is>
          <t>FR - Frame &amp; Body</t>
        </is>
      </c>
      <c r="C13" t="inlineStr">
        <is>
          <t>Frame &amp; Body commodity details</t>
        </is>
      </c>
    </row>
    <row r="14">
      <c r="B14" t="inlineStr">
        <is>
          <t>EL - Electrical</t>
        </is>
      </c>
      <c r="C14" t="inlineStr">
        <is>
          <t>Electrical commodity details</t>
        </is>
      </c>
    </row>
    <row r="15">
      <c r="B15" t="inlineStr">
        <is>
          <t>MS - Misc</t>
        </is>
      </c>
      <c r="C15" t="inlineStr">
        <is>
          <t>Misc commodity details</t>
        </is>
      </c>
    </row>
    <row r="16">
      <c r="B16" t="inlineStr">
        <is>
          <t>ST - Steering</t>
        </is>
      </c>
      <c r="C16" t="inlineStr">
        <is>
          <t>Steering commodity details</t>
        </is>
      </c>
    </row>
    <row r="17">
      <c r="B17" t="inlineStr">
        <is>
          <t>SU - Suspension</t>
        </is>
      </c>
      <c r="C17" t="inlineStr">
        <is>
          <t>Suspension commodity details</t>
        </is>
      </c>
    </row>
    <row r="18">
      <c r="B18" t="inlineStr">
        <is>
          <t>WT - Wheels</t>
        </is>
      </c>
      <c r="C18" t="inlineStr">
        <is>
          <t>Wheels commodity details</t>
        </is>
      </c>
    </row>
  </sheetData>
  <pageMargins left="0.5" right="0.5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4"/>
  <sheetViews>
    <sheetView workbookViewId="0">
      <selection activeCell="A1" sqref="A1"/>
    </sheetView>
  </sheetViews>
  <sheetFormatPr baseColWidth="8" defaultRowHeight="15"/>
  <cols>
    <col width="25" customWidth="1" min="2" max="2"/>
    <col width="10" customWidth="1" min="3" max="3"/>
    <col width="20" customWidth="1" min="4" max="4"/>
  </cols>
  <sheetData>
    <row r="2">
      <c r="B2" s="3" t="inlineStr">
        <is>
          <t>Cost Summary</t>
        </is>
      </c>
    </row>
    <row r="5">
      <c r="B5" s="4" t="inlineStr">
        <is>
          <t>Commodity</t>
        </is>
      </c>
      <c r="C5" s="4" t="inlineStr">
        <is>
          <t>Code</t>
        </is>
      </c>
      <c r="D5" s="4" t="inlineStr">
        <is>
          <t>Total Cost (₹)</t>
        </is>
      </c>
    </row>
    <row r="6">
      <c r="B6" s="5" t="inlineStr">
        <is>
          <t>Brakes</t>
        </is>
      </c>
      <c r="C6" s="5" t="inlineStr">
        <is>
          <t>BR</t>
        </is>
      </c>
      <c r="D6" s="8">
        <f>'BR - Brakes'!I9</f>
        <v/>
      </c>
    </row>
    <row r="7">
      <c r="B7" s="5" t="inlineStr">
        <is>
          <t>Engine &amp; Drivetrain</t>
        </is>
      </c>
      <c r="C7" s="5" t="inlineStr">
        <is>
          <t>EN</t>
        </is>
      </c>
      <c r="D7" s="8">
        <f>'EN - Engine &amp; Drivetrain'!I9</f>
        <v/>
      </c>
    </row>
    <row r="8">
      <c r="B8" s="5" t="inlineStr">
        <is>
          <t>Frame &amp; Body</t>
        </is>
      </c>
      <c r="C8" s="5" t="inlineStr">
        <is>
          <t>FR</t>
        </is>
      </c>
      <c r="D8" s="8">
        <f>'FR - Frame &amp; Body'!I9</f>
        <v/>
      </c>
    </row>
    <row r="9">
      <c r="B9" s="5" t="inlineStr">
        <is>
          <t>Electrical</t>
        </is>
      </c>
      <c r="C9" s="5" t="inlineStr">
        <is>
          <t>EL</t>
        </is>
      </c>
      <c r="D9" s="8">
        <f>'EL - Electrical'!I9</f>
        <v/>
      </c>
    </row>
    <row r="10">
      <c r="B10" s="5" t="inlineStr">
        <is>
          <t>Misc</t>
        </is>
      </c>
      <c r="C10" s="5" t="inlineStr">
        <is>
          <t>MS</t>
        </is>
      </c>
      <c r="D10" s="8">
        <f>'MS - Misc'!I9</f>
        <v/>
      </c>
    </row>
    <row r="11">
      <c r="B11" s="5" t="inlineStr">
        <is>
          <t>Steering</t>
        </is>
      </c>
      <c r="C11" s="5" t="inlineStr">
        <is>
          <t>ST</t>
        </is>
      </c>
      <c r="D11" s="8">
        <f>'ST - Steering'!I9</f>
        <v/>
      </c>
    </row>
    <row r="12">
      <c r="B12" s="5" t="inlineStr">
        <is>
          <t>Suspension</t>
        </is>
      </c>
      <c r="C12" s="5" t="inlineStr">
        <is>
          <t>SU</t>
        </is>
      </c>
      <c r="D12" s="8">
        <f>'SU - Suspension'!I9</f>
        <v/>
      </c>
    </row>
    <row r="13">
      <c r="B13" s="5" t="inlineStr">
        <is>
          <t>Wheels</t>
        </is>
      </c>
      <c r="C13" s="5" t="inlineStr">
        <is>
          <t>WT</t>
        </is>
      </c>
      <c r="D13" s="8">
        <f>'WT - Wheels'!I9</f>
        <v/>
      </c>
    </row>
    <row r="14">
      <c r="B14" s="6" t="inlineStr">
        <is>
          <t>GRAND TOTAL</t>
        </is>
      </c>
      <c r="C14" s="12" t="n"/>
      <c r="D14" s="13">
        <f>SUM(D6:D15)</f>
        <v/>
      </c>
    </row>
  </sheetData>
  <mergeCells count="1">
    <mergeCell ref="B14:C14"/>
  </mergeCells>
  <pageMargins left="0.5" right="0.5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2" max="2"/>
    <col width="30" customWidth="1" min="3" max="3"/>
    <col width="20" customWidth="1" min="4" max="4"/>
    <col width="12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2">
      <c r="B2" s="3" t="inlineStr">
        <is>
          <t>Bill of Materials</t>
        </is>
      </c>
    </row>
    <row r="5">
      <c r="B5" s="4" t="inlineStr">
        <is>
          <t>Part Number</t>
        </is>
      </c>
      <c r="C5" s="4" t="inlineStr">
        <is>
          <t>Part Name</t>
        </is>
      </c>
      <c r="D5" s="4" t="inlineStr">
        <is>
          <t>Assembly</t>
        </is>
      </c>
      <c r="E5" s="4" t="inlineStr">
        <is>
          <t>Commodity</t>
        </is>
      </c>
      <c r="F5" s="4" t="inlineStr">
        <is>
          <t>Make/Buy</t>
        </is>
      </c>
      <c r="G5" s="4" t="inlineStr">
        <is>
          <t>Quantity</t>
        </is>
      </c>
      <c r="H5" s="4" t="inlineStr">
        <is>
          <t>Unit Cost</t>
        </is>
      </c>
      <c r="I5" s="4" t="inlineStr">
        <is>
          <t>Extended Cost</t>
        </is>
      </c>
    </row>
    <row r="6">
      <c r="B6" s="5" t="n"/>
      <c r="C6" s="5" t="n"/>
      <c r="D6" s="5" t="n"/>
      <c r="E6" s="5" t="n"/>
      <c r="F6" s="5" t="n"/>
      <c r="G6" s="5" t="n"/>
      <c r="H6" s="8" t="n"/>
      <c r="I6" s="8">
        <f>H6*G6</f>
        <v/>
      </c>
    </row>
    <row r="7">
      <c r="B7" s="5" t="n"/>
      <c r="C7" s="5" t="n"/>
      <c r="D7" s="5" t="n"/>
      <c r="E7" s="5" t="n"/>
      <c r="F7" s="5" t="n"/>
      <c r="G7" s="5" t="n"/>
      <c r="H7" s="8" t="n"/>
      <c r="I7" s="8">
        <f>H7*G7</f>
        <v/>
      </c>
    </row>
    <row r="8">
      <c r="B8" s="5" t="n"/>
      <c r="C8" s="5" t="n"/>
      <c r="D8" s="5" t="n"/>
      <c r="E8" s="5" t="n"/>
      <c r="F8" s="5" t="n"/>
      <c r="G8" s="5" t="n"/>
      <c r="H8" s="8" t="n"/>
      <c r="I8" s="8">
        <f>H8*G8</f>
        <v/>
      </c>
    </row>
    <row r="9">
      <c r="B9" s="5" t="n"/>
      <c r="C9" s="5" t="n"/>
      <c r="D9" s="5" t="n"/>
      <c r="E9" s="5" t="n"/>
      <c r="F9" s="5" t="n"/>
      <c r="G9" s="5" t="n"/>
      <c r="H9" s="8" t="n"/>
      <c r="I9" s="8">
        <f>H9*G9</f>
        <v/>
      </c>
    </row>
    <row r="10">
      <c r="B10" s="5" t="n"/>
      <c r="C10" s="5" t="n"/>
      <c r="D10" s="5" t="n"/>
      <c r="E10" s="5" t="n"/>
      <c r="F10" s="5" t="n"/>
      <c r="G10" s="5" t="n"/>
      <c r="H10" s="8" t="n"/>
      <c r="I10" s="8">
        <f>H10*G10</f>
        <v/>
      </c>
    </row>
    <row r="11">
      <c r="B11" s="5" t="n"/>
      <c r="C11" s="5" t="n"/>
      <c r="D11" s="5" t="n"/>
      <c r="E11" s="5" t="n"/>
      <c r="F11" s="5" t="n"/>
      <c r="G11" s="5" t="n"/>
      <c r="H11" s="8" t="n"/>
      <c r="I11" s="8">
        <f>H11*G11</f>
        <v/>
      </c>
    </row>
    <row r="12">
      <c r="B12" s="5" t="n"/>
      <c r="C12" s="5" t="n"/>
      <c r="D12" s="5" t="n"/>
      <c r="E12" s="5" t="n"/>
      <c r="F12" s="5" t="n"/>
      <c r="G12" s="5" t="n"/>
      <c r="H12" s="8" t="n"/>
      <c r="I12" s="8">
        <f>H12*G12</f>
        <v/>
      </c>
    </row>
    <row r="13">
      <c r="B13" s="5" t="n"/>
      <c r="C13" s="5" t="n"/>
      <c r="D13" s="5" t="n"/>
      <c r="E13" s="5" t="n"/>
      <c r="F13" s="5" t="n"/>
      <c r="G13" s="5" t="n"/>
      <c r="H13" s="8" t="n"/>
      <c r="I13" s="8">
        <f>H13*G13</f>
        <v/>
      </c>
    </row>
    <row r="14">
      <c r="B14" s="5" t="n"/>
      <c r="C14" s="5" t="n"/>
      <c r="D14" s="5" t="n"/>
      <c r="E14" s="5" t="n"/>
      <c r="F14" s="5" t="n"/>
      <c r="G14" s="5" t="n"/>
      <c r="H14" s="8" t="n"/>
      <c r="I14" s="8">
        <f>H14*G14</f>
        <v/>
      </c>
    </row>
    <row r="15">
      <c r="B15" s="5" t="n"/>
      <c r="C15" s="5" t="n"/>
      <c r="D15" s="5" t="n"/>
      <c r="E15" s="5" t="n"/>
      <c r="F15" s="5" t="n"/>
      <c r="G15" s="5" t="n"/>
      <c r="H15" s="8" t="n"/>
      <c r="I15" s="8">
        <f>H15*G15</f>
        <v/>
      </c>
    </row>
    <row r="16">
      <c r="B16" s="5" t="n"/>
      <c r="C16" s="5" t="n"/>
      <c r="D16" s="5" t="n"/>
      <c r="E16" s="5" t="n"/>
      <c r="F16" s="5" t="n"/>
      <c r="G16" s="5" t="n"/>
      <c r="H16" s="8" t="n"/>
      <c r="I16" s="8">
        <f>H16*G16</f>
        <v/>
      </c>
    </row>
    <row r="17">
      <c r="B17" s="5" t="n"/>
      <c r="C17" s="5" t="n"/>
      <c r="D17" s="5" t="n"/>
      <c r="E17" s="5" t="n"/>
      <c r="F17" s="5" t="n"/>
      <c r="G17" s="5" t="n"/>
      <c r="H17" s="8" t="n"/>
      <c r="I17" s="8">
        <f>H17*G17</f>
        <v/>
      </c>
    </row>
    <row r="18">
      <c r="B18" s="5" t="n"/>
      <c r="C18" s="5" t="n"/>
      <c r="D18" s="5" t="n"/>
      <c r="E18" s="5" t="n"/>
      <c r="F18" s="5" t="n"/>
      <c r="G18" s="5" t="n"/>
      <c r="H18" s="8" t="n"/>
      <c r="I18" s="8">
        <f>H18*G18</f>
        <v/>
      </c>
    </row>
    <row r="19">
      <c r="B19" s="5" t="n"/>
      <c r="C19" s="5" t="n"/>
      <c r="D19" s="5" t="n"/>
      <c r="E19" s="5" t="n"/>
      <c r="F19" s="5" t="n"/>
      <c r="G19" s="5" t="n"/>
      <c r="H19" s="8" t="n"/>
      <c r="I19" s="8">
        <f>H19*G19</f>
        <v/>
      </c>
    </row>
    <row r="20">
      <c r="B20" s="5" t="n"/>
      <c r="C20" s="5" t="n"/>
      <c r="D20" s="5" t="n"/>
      <c r="E20" s="5" t="n"/>
      <c r="F20" s="5" t="n"/>
      <c r="G20" s="5" t="n"/>
      <c r="H20" s="8" t="n"/>
      <c r="I20" s="8">
        <f>H20*G20</f>
        <v/>
      </c>
    </row>
    <row r="21">
      <c r="B21" s="5" t="n"/>
      <c r="C21" s="5" t="n"/>
      <c r="D21" s="5" t="n"/>
      <c r="E21" s="5" t="n"/>
      <c r="F21" s="5" t="n"/>
      <c r="G21" s="5" t="n"/>
      <c r="H21" s="8" t="n"/>
      <c r="I21" s="8">
        <f>H21*G21</f>
        <v/>
      </c>
    </row>
    <row r="22">
      <c r="B22" s="5" t="n"/>
      <c r="C22" s="5" t="n"/>
      <c r="D22" s="5" t="n"/>
      <c r="E22" s="5" t="n"/>
      <c r="F22" s="5" t="n"/>
      <c r="G22" s="5" t="n"/>
      <c r="H22" s="8" t="n"/>
      <c r="I22" s="8">
        <f>H22*G22</f>
        <v/>
      </c>
    </row>
    <row r="23">
      <c r="B23" s="5" t="n"/>
      <c r="C23" s="5" t="n"/>
      <c r="D23" s="5" t="n"/>
      <c r="E23" s="5" t="n"/>
      <c r="F23" s="5" t="n"/>
      <c r="G23" s="5" t="n"/>
      <c r="H23" s="8" t="n"/>
      <c r="I23" s="8">
        <f>H23*G23</f>
        <v/>
      </c>
    </row>
    <row r="24">
      <c r="B24" s="5" t="n"/>
      <c r="C24" s="5" t="n"/>
      <c r="D24" s="5" t="n"/>
      <c r="E24" s="5" t="n"/>
      <c r="F24" s="5" t="n"/>
      <c r="G24" s="5" t="n"/>
      <c r="H24" s="8" t="n"/>
      <c r="I24" s="8">
        <f>H24*G24</f>
        <v/>
      </c>
    </row>
    <row r="25">
      <c r="B25" s="5" t="n"/>
      <c r="C25" s="5" t="n"/>
      <c r="D25" s="5" t="n"/>
      <c r="E25" s="5" t="n"/>
      <c r="F25" s="5" t="n"/>
      <c r="G25" s="5" t="n"/>
      <c r="H25" s="8" t="n"/>
      <c r="I25" s="8">
        <f>H25*G25</f>
        <v/>
      </c>
    </row>
    <row r="26">
      <c r="B26" s="5" t="n"/>
      <c r="C26" s="5" t="n"/>
      <c r="D26" s="5" t="n"/>
      <c r="E26" s="5" t="n"/>
      <c r="F26" s="5" t="n"/>
      <c r="G26" s="5" t="n"/>
      <c r="H26" s="8" t="n"/>
      <c r="I26" s="8">
        <f>H26*G26</f>
        <v/>
      </c>
    </row>
    <row r="27">
      <c r="B27" s="5" t="n"/>
      <c r="C27" s="5" t="n"/>
      <c r="D27" s="5" t="n"/>
      <c r="E27" s="5" t="n"/>
      <c r="F27" s="5" t="n"/>
      <c r="G27" s="5" t="n"/>
      <c r="H27" s="8" t="n"/>
      <c r="I27" s="8">
        <f>H27*G27</f>
        <v/>
      </c>
    </row>
    <row r="28">
      <c r="B28" s="5" t="n"/>
      <c r="C28" s="5" t="n"/>
      <c r="D28" s="5" t="n"/>
      <c r="E28" s="5" t="n"/>
      <c r="F28" s="5" t="n"/>
      <c r="G28" s="5" t="n"/>
      <c r="H28" s="8" t="n"/>
      <c r="I28" s="8">
        <f>H28*G28</f>
        <v/>
      </c>
    </row>
    <row r="29">
      <c r="B29" s="5" t="n"/>
      <c r="C29" s="5" t="n"/>
      <c r="D29" s="5" t="n"/>
      <c r="E29" s="5" t="n"/>
      <c r="F29" s="5" t="n"/>
      <c r="G29" s="5" t="n"/>
      <c r="H29" s="8" t="n"/>
      <c r="I29" s="8">
        <f>H29*G29</f>
        <v/>
      </c>
    </row>
    <row r="30">
      <c r="B30" s="5" t="n"/>
      <c r="C30" s="5" t="n"/>
      <c r="D30" s="5" t="n"/>
      <c r="E30" s="5" t="n"/>
      <c r="F30" s="5" t="n"/>
      <c r="G30" s="5" t="n"/>
      <c r="H30" s="8" t="n"/>
      <c r="I30" s="8">
        <f>H30*G30</f>
        <v/>
      </c>
    </row>
    <row r="31">
      <c r="B31" s="5" t="n"/>
      <c r="C31" s="5" t="n"/>
      <c r="D31" s="5" t="n"/>
      <c r="E31" s="5" t="n"/>
      <c r="F31" s="5" t="n"/>
      <c r="G31" s="5" t="n"/>
      <c r="H31" s="8" t="n"/>
      <c r="I31" s="8">
        <f>H31*G31</f>
        <v/>
      </c>
    </row>
    <row r="32">
      <c r="B32" s="5" t="n"/>
      <c r="C32" s="5" t="n"/>
      <c r="D32" s="5" t="n"/>
      <c r="E32" s="5" t="n"/>
      <c r="F32" s="5" t="n"/>
      <c r="G32" s="5" t="n"/>
      <c r="H32" s="8" t="n"/>
      <c r="I32" s="8">
        <f>H32*G32</f>
        <v/>
      </c>
    </row>
    <row r="33">
      <c r="B33" s="5" t="n"/>
      <c r="C33" s="5" t="n"/>
      <c r="D33" s="5" t="n"/>
      <c r="E33" s="5" t="n"/>
      <c r="F33" s="5" t="n"/>
      <c r="G33" s="5" t="n"/>
      <c r="H33" s="8" t="n"/>
      <c r="I33" s="8">
        <f>H33*G33</f>
        <v/>
      </c>
    </row>
    <row r="34">
      <c r="B34" s="5" t="n"/>
      <c r="C34" s="5" t="n"/>
      <c r="D34" s="5" t="n"/>
      <c r="E34" s="5" t="n"/>
      <c r="F34" s="5" t="n"/>
      <c r="G34" s="5" t="n"/>
      <c r="H34" s="8" t="n"/>
      <c r="I34" s="8">
        <f>H34*G34</f>
        <v/>
      </c>
    </row>
    <row r="35">
      <c r="B35" s="5" t="n"/>
      <c r="C35" s="5" t="n"/>
      <c r="D35" s="5" t="n"/>
      <c r="E35" s="5" t="n"/>
      <c r="F35" s="5" t="n"/>
      <c r="G35" s="5" t="n"/>
      <c r="H35" s="8" t="n"/>
      <c r="I35" s="8">
        <f>H35*G35</f>
        <v/>
      </c>
    </row>
    <row r="36">
      <c r="B36" s="5" t="n"/>
      <c r="C36" s="5" t="n"/>
      <c r="D36" s="5" t="n"/>
      <c r="E36" s="5" t="n"/>
      <c r="F36" s="5" t="n"/>
      <c r="G36" s="5" t="n"/>
      <c r="H36" s="8" t="n"/>
      <c r="I36" s="8">
        <f>H36*G36</f>
        <v/>
      </c>
    </row>
    <row r="37">
      <c r="B37" s="5" t="n"/>
      <c r="C37" s="5" t="n"/>
      <c r="D37" s="5" t="n"/>
      <c r="E37" s="5" t="n"/>
      <c r="F37" s="5" t="n"/>
      <c r="G37" s="5" t="n"/>
      <c r="H37" s="8" t="n"/>
      <c r="I37" s="8">
        <f>H37*G37</f>
        <v/>
      </c>
    </row>
    <row r="38">
      <c r="B38" s="5" t="n"/>
      <c r="C38" s="5" t="n"/>
      <c r="D38" s="5" t="n"/>
      <c r="E38" s="5" t="n"/>
      <c r="F38" s="5" t="n"/>
      <c r="G38" s="5" t="n"/>
      <c r="H38" s="8" t="n"/>
      <c r="I38" s="8">
        <f>H38*G38</f>
        <v/>
      </c>
    </row>
    <row r="39">
      <c r="B39" s="5" t="n"/>
      <c r="C39" s="5" t="n"/>
      <c r="D39" s="5" t="n"/>
      <c r="E39" s="5" t="n"/>
      <c r="F39" s="5" t="n"/>
      <c r="G39" s="5" t="n"/>
      <c r="H39" s="8" t="n"/>
      <c r="I39" s="8">
        <f>H39*G39</f>
        <v/>
      </c>
    </row>
    <row r="40">
      <c r="B40" s="5" t="n"/>
      <c r="C40" s="5" t="n"/>
      <c r="D40" s="5" t="n"/>
      <c r="E40" s="5" t="n"/>
      <c r="F40" s="5" t="n"/>
      <c r="G40" s="5" t="n"/>
      <c r="H40" s="8" t="n"/>
      <c r="I40" s="8">
        <f>H40*G40</f>
        <v/>
      </c>
    </row>
    <row r="41">
      <c r="B41" s="5" t="n"/>
      <c r="C41" s="5" t="n"/>
      <c r="D41" s="5" t="n"/>
      <c r="E41" s="5" t="n"/>
      <c r="F41" s="5" t="n"/>
      <c r="G41" s="5" t="n"/>
      <c r="H41" s="8" t="n"/>
      <c r="I41" s="8">
        <f>H41*G41</f>
        <v/>
      </c>
    </row>
    <row r="42">
      <c r="B42" s="5" t="n"/>
      <c r="C42" s="5" t="n"/>
      <c r="D42" s="5" t="n"/>
      <c r="E42" s="5" t="n"/>
      <c r="F42" s="5" t="n"/>
      <c r="G42" s="5" t="n"/>
      <c r="H42" s="8" t="n"/>
      <c r="I42" s="8">
        <f>H42*G42</f>
        <v/>
      </c>
    </row>
    <row r="43">
      <c r="B43" s="5" t="n"/>
      <c r="C43" s="5" t="n"/>
      <c r="D43" s="5" t="n"/>
      <c r="E43" s="5" t="n"/>
      <c r="F43" s="5" t="n"/>
      <c r="G43" s="5" t="n"/>
      <c r="H43" s="8" t="n"/>
      <c r="I43" s="8">
        <f>H43*G43</f>
        <v/>
      </c>
    </row>
    <row r="44">
      <c r="B44" s="5" t="n"/>
      <c r="C44" s="5" t="n"/>
      <c r="D44" s="5" t="n"/>
      <c r="E44" s="5" t="n"/>
      <c r="F44" s="5" t="n"/>
      <c r="G44" s="5" t="n"/>
      <c r="H44" s="8" t="n"/>
      <c r="I44" s="8">
        <f>H44*G44</f>
        <v/>
      </c>
    </row>
    <row r="45">
      <c r="B45" s="5" t="n"/>
      <c r="C45" s="5" t="n"/>
      <c r="D45" s="5" t="n"/>
      <c r="E45" s="5" t="n"/>
      <c r="F45" s="5" t="n"/>
      <c r="G45" s="5" t="n"/>
      <c r="H45" s="8" t="n"/>
      <c r="I45" s="8">
        <f>H45*G45</f>
        <v/>
      </c>
    </row>
    <row r="46">
      <c r="B46" s="5" t="n"/>
      <c r="C46" s="5" t="n"/>
      <c r="D46" s="5" t="n"/>
      <c r="E46" s="5" t="n"/>
      <c r="F46" s="5" t="n"/>
      <c r="G46" s="5" t="n"/>
      <c r="H46" s="8" t="n"/>
      <c r="I46" s="8">
        <f>H46*G46</f>
        <v/>
      </c>
    </row>
    <row r="47">
      <c r="B47" s="5" t="n"/>
      <c r="C47" s="5" t="n"/>
      <c r="D47" s="5" t="n"/>
      <c r="E47" s="5" t="n"/>
      <c r="F47" s="5" t="n"/>
      <c r="G47" s="5" t="n"/>
      <c r="H47" s="8" t="n"/>
      <c r="I47" s="8">
        <f>H47*G47</f>
        <v/>
      </c>
    </row>
    <row r="48">
      <c r="B48" s="5" t="n"/>
      <c r="C48" s="5" t="n"/>
      <c r="D48" s="5" t="n"/>
      <c r="E48" s="5" t="n"/>
      <c r="F48" s="5" t="n"/>
      <c r="G48" s="5" t="n"/>
      <c r="H48" s="8" t="n"/>
      <c r="I48" s="8">
        <f>H48*G48</f>
        <v/>
      </c>
    </row>
    <row r="49">
      <c r="B49" s="5" t="n"/>
      <c r="C49" s="5" t="n"/>
      <c r="D49" s="5" t="n"/>
      <c r="E49" s="5" t="n"/>
      <c r="F49" s="5" t="n"/>
      <c r="G49" s="5" t="n"/>
      <c r="H49" s="8" t="n"/>
      <c r="I49" s="8">
        <f>H49*G49</f>
        <v/>
      </c>
    </row>
    <row r="50">
      <c r="B50" s="5" t="n"/>
      <c r="C50" s="5" t="n"/>
      <c r="D50" s="5" t="n"/>
      <c r="E50" s="5" t="n"/>
      <c r="F50" s="5" t="n"/>
      <c r="G50" s="5" t="n"/>
      <c r="H50" s="8" t="n"/>
      <c r="I50" s="8">
        <f>H50*G50</f>
        <v/>
      </c>
    </row>
    <row r="51">
      <c r="B51" s="5" t="n"/>
      <c r="C51" s="5" t="n"/>
      <c r="D51" s="5" t="n"/>
      <c r="E51" s="5" t="n"/>
      <c r="F51" s="5" t="n"/>
      <c r="G51" s="5" t="n"/>
      <c r="H51" s="8" t="n"/>
      <c r="I51" s="8">
        <f>H51*G51</f>
        <v/>
      </c>
    </row>
    <row r="52">
      <c r="B52" s="5" t="n"/>
      <c r="C52" s="5" t="n"/>
      <c r="D52" s="5" t="n"/>
      <c r="E52" s="5" t="n"/>
      <c r="F52" s="5" t="n"/>
      <c r="G52" s="5" t="n"/>
      <c r="H52" s="8" t="n"/>
      <c r="I52" s="8">
        <f>H52*G52</f>
        <v/>
      </c>
    </row>
    <row r="53">
      <c r="B53" s="5" t="n"/>
      <c r="C53" s="5" t="n"/>
      <c r="D53" s="5" t="n"/>
      <c r="E53" s="5" t="n"/>
      <c r="F53" s="5" t="n"/>
      <c r="G53" s="5" t="n"/>
      <c r="H53" s="8" t="n"/>
      <c r="I53" s="8">
        <f>H53*G53</f>
        <v/>
      </c>
    </row>
    <row r="54">
      <c r="B54" s="5" t="n"/>
      <c r="C54" s="5" t="n"/>
      <c r="D54" s="5" t="n"/>
      <c r="E54" s="5" t="n"/>
      <c r="F54" s="5" t="n"/>
      <c r="G54" s="5" t="n"/>
      <c r="H54" s="8" t="n"/>
      <c r="I54" s="8">
        <f>H54*G54</f>
        <v/>
      </c>
    </row>
    <row r="55">
      <c r="B55" s="5" t="n"/>
      <c r="C55" s="5" t="n"/>
      <c r="D55" s="5" t="n"/>
      <c r="E55" s="5" t="n"/>
      <c r="F55" s="5" t="n"/>
      <c r="G55" s="5" t="n"/>
      <c r="H55" s="8" t="n"/>
      <c r="I55" s="8">
        <f>H55*G55</f>
        <v/>
      </c>
    </row>
  </sheetData>
  <autoFilter ref="B5:I56"/>
  <conditionalFormatting sqref="B6:B56">
    <cfRule type="cellIs" priority="1" operator="equal" dxfId="0" stopIfTrue="1">
      <formula>""</formula>
    </cfRule>
  </conditionalFormatting>
  <conditionalFormatting sqref="C6:C56">
    <cfRule type="cellIs" priority="2" operator="equal" dxfId="0" stopIfTrue="1">
      <formula>""</formula>
    </cfRule>
  </conditionalFormatting>
  <conditionalFormatting sqref="H6:H56">
    <cfRule type="expression" priority="3" dxfId="1" stopIfTrue="1">
      <formula>AND(C6&lt;&gt;"", H6="")</formula>
    </cfRule>
  </conditionalFormatting>
  <pageMargins left="0.5" right="0.5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2" max="2"/>
    <col width="25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B1" s="2" t="inlineStr">
        <is>
          <t>University:</t>
        </is>
      </c>
      <c r="C1" t="inlineStr">
        <is>
          <t>Ajeenkya DY Patil University</t>
        </is>
      </c>
    </row>
    <row r="2">
      <c r="B2" s="2" t="inlineStr">
        <is>
          <t>Team Name:</t>
        </is>
      </c>
      <c r="C2" t="inlineStr">
        <is>
          <t>Javitron</t>
        </is>
      </c>
    </row>
    <row r="3">
      <c r="B3" s="2" t="inlineStr">
        <is>
          <t>System:</t>
        </is>
      </c>
      <c r="C3" t="inlineStr">
        <is>
          <t>Brakes</t>
        </is>
      </c>
    </row>
    <row r="4">
      <c r="B4" s="2" t="inlineStr">
        <is>
          <t>Assembly:</t>
        </is>
      </c>
    </row>
    <row r="5">
      <c r="B5" s="2" t="inlineStr">
        <is>
          <t>P/N Base:</t>
        </is>
      </c>
      <c r="C5" t="inlineStr">
        <is>
          <t>BR-XX-001</t>
        </is>
      </c>
    </row>
    <row r="6">
      <c r="B6" s="2" t="inlineStr">
        <is>
          <t>Suffix:</t>
        </is>
      </c>
    </row>
    <row r="7">
      <c r="B7" s="2" t="inlineStr">
        <is>
          <t>Details:</t>
        </is>
      </c>
    </row>
    <row r="8"/>
    <row r="9" ht="20" customHeight="1">
      <c r="B9" s="2" t="inlineStr">
        <is>
          <t>Car #:</t>
        </is>
      </c>
      <c r="D9" s="2" t="inlineStr">
        <is>
          <t>Asm Cost:</t>
        </is>
      </c>
      <c r="E9" s="9">
        <f>0</f>
        <v/>
      </c>
      <c r="F9" s="2" t="inlineStr">
        <is>
          <t>Qty:</t>
        </is>
      </c>
      <c r="G9" t="inlineStr">
        <is>
          <t>1</t>
        </is>
      </c>
      <c r="H9" s="2" t="inlineStr">
        <is>
          <t>Extended Cost:</t>
        </is>
      </c>
      <c r="I9" s="9">
        <f>E*G</f>
        <v/>
      </c>
    </row>
    <row r="10">
      <c r="F10" s="9">
        <f>D10*E10</f>
        <v/>
      </c>
    </row>
    <row r="11">
      <c r="B11" s="10" t="inlineStr">
        <is>
          <t>Parts</t>
        </is>
      </c>
      <c r="F11" s="9">
        <f>D11*E11</f>
        <v/>
      </c>
    </row>
    <row r="12">
      <c r="B12" s="4" t="inlineStr">
        <is>
          <t>ItemOrder</t>
        </is>
      </c>
      <c r="C12" s="4" t="inlineStr">
        <is>
          <t>Part</t>
        </is>
      </c>
      <c r="D12" s="4" t="inlineStr">
        <is>
          <t>Part Cost</t>
        </is>
      </c>
      <c r="E12" s="4" t="inlineStr">
        <is>
          <t>Quantity</t>
        </is>
      </c>
      <c r="F12" s="14">
        <f>D12*E12</f>
        <v/>
      </c>
    </row>
    <row r="13">
      <c r="B13" s="5" t="n">
        <v>1</v>
      </c>
      <c r="C13" s="5" t="n"/>
      <c r="D13" s="5" t="n"/>
      <c r="E13" s="8" t="n"/>
      <c r="F13" s="8">
        <f>D13*E13</f>
        <v/>
      </c>
    </row>
    <row r="14">
      <c r="B14" s="5" t="n">
        <v>2</v>
      </c>
      <c r="C14" s="5" t="n"/>
      <c r="D14" s="5" t="n"/>
      <c r="E14" s="8" t="n"/>
      <c r="F14" s="8">
        <f>D14*E14</f>
        <v/>
      </c>
    </row>
    <row r="15">
      <c r="B15" s="5" t="n">
        <v>3</v>
      </c>
      <c r="C15" s="5" t="n"/>
      <c r="D15" s="5" t="n"/>
      <c r="E15" s="8" t="n"/>
      <c r="F15" s="8">
        <f>D15*E15</f>
        <v/>
      </c>
    </row>
    <row r="16">
      <c r="B16" s="5" t="n">
        <v>4</v>
      </c>
      <c r="C16" s="5" t="n"/>
      <c r="D16" s="5" t="n"/>
      <c r="E16" s="8" t="n"/>
      <c r="F16" s="8">
        <f>D16*E16</f>
        <v/>
      </c>
    </row>
    <row r="17">
      <c r="B17" s="5" t="n">
        <v>5</v>
      </c>
      <c r="C17" s="5" t="n"/>
      <c r="D17" s="5" t="n"/>
      <c r="E17" s="8" t="n"/>
      <c r="F17" s="8">
        <f>D17*E17</f>
        <v/>
      </c>
    </row>
    <row r="18">
      <c r="B18" s="5" t="n">
        <v>6</v>
      </c>
      <c r="C18" s="5" t="n"/>
      <c r="D18" s="5" t="n"/>
      <c r="E18" s="8" t="n"/>
      <c r="F18" s="8">
        <f>D18*E18</f>
        <v/>
      </c>
    </row>
    <row r="19">
      <c r="B19" s="5" t="n">
        <v>7</v>
      </c>
      <c r="C19" s="5" t="n"/>
      <c r="D19" s="5" t="n"/>
      <c r="E19" s="8" t="n"/>
      <c r="F19" s="8">
        <f>D19*E19</f>
        <v/>
      </c>
    </row>
    <row r="20">
      <c r="B20" s="5" t="n">
        <v>8</v>
      </c>
      <c r="C20" s="5" t="n"/>
      <c r="D20" s="5" t="n"/>
      <c r="E20" s="8" t="n"/>
      <c r="F20" s="8" t="n"/>
    </row>
    <row r="21" ht="20" customHeight="1">
      <c r="B21" s="5" t="n">
        <v>9</v>
      </c>
      <c r="C21" s="5" t="n"/>
      <c r="D21" s="5" t="n"/>
      <c r="E21" s="8" t="n"/>
      <c r="F21" s="8" t="n"/>
    </row>
    <row r="22">
      <c r="B22" s="5" t="n">
        <v>10</v>
      </c>
      <c r="C22" s="5" t="n"/>
      <c r="D22" s="5" t="n"/>
      <c r="E22" s="8" t="n"/>
      <c r="F22" s="8" t="n"/>
      <c r="O22" s="9">
        <f>D22*M22</f>
        <v/>
      </c>
    </row>
    <row r="23">
      <c r="O23" s="9">
        <f>D23*M23</f>
        <v/>
      </c>
    </row>
    <row r="24">
      <c r="B24" s="10" t="inlineStr">
        <is>
          <t>Materials</t>
        </is>
      </c>
      <c r="O24" s="9">
        <f>D24*M24</f>
        <v/>
      </c>
    </row>
    <row r="25">
      <c r="B25" s="11" t="inlineStr">
        <is>
          <t>ItemOrder</t>
        </is>
      </c>
      <c r="C25" s="11" t="inlineStr">
        <is>
          <t>Material</t>
        </is>
      </c>
      <c r="D25" s="11" t="inlineStr">
        <is>
          <t>Use</t>
        </is>
      </c>
      <c r="E25" s="11" t="inlineStr">
        <is>
          <t>UnitCost</t>
        </is>
      </c>
      <c r="F25" s="11" t="inlineStr">
        <is>
          <t>Unit</t>
        </is>
      </c>
      <c r="G25" s="11" t="inlineStr">
        <is>
          <t>Size1</t>
        </is>
      </c>
      <c r="H25" s="11" t="inlineStr">
        <is>
          <t>Unit1</t>
        </is>
      </c>
      <c r="I25" s="11" t="inlineStr">
        <is>
          <t>Size2</t>
        </is>
      </c>
      <c r="J25" s="11" t="inlineStr">
        <is>
          <t>Unit2</t>
        </is>
      </c>
      <c r="K25" s="11" t="inlineStr">
        <is>
          <t>Area</t>
        </is>
      </c>
      <c r="L25" s="11" t="inlineStr">
        <is>
          <t>Length</t>
        </is>
      </c>
      <c r="M25" s="11" t="inlineStr">
        <is>
          <t>Density</t>
        </is>
      </c>
      <c r="N25" s="11" t="inlineStr">
        <is>
          <t>Quantity</t>
        </is>
      </c>
      <c r="O25" s="15">
        <f>D25*M25</f>
        <v/>
      </c>
    </row>
    <row r="26">
      <c r="B26" s="5" t="n">
        <v>1</v>
      </c>
      <c r="C26" s="5" t="n"/>
      <c r="D26" s="5" t="n"/>
      <c r="E26" s="8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8">
        <f>D26*M26</f>
        <v/>
      </c>
    </row>
    <row r="27">
      <c r="B27" s="5" t="n">
        <v>2</v>
      </c>
      <c r="C27" s="5" t="n"/>
      <c r="D27" s="5" t="n"/>
      <c r="E27" s="8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8">
        <f>D27*M27</f>
        <v/>
      </c>
    </row>
    <row r="28">
      <c r="B28" s="5" t="n">
        <v>3</v>
      </c>
      <c r="C28" s="5" t="n"/>
      <c r="D28" s="5" t="n"/>
      <c r="E28" s="8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8">
        <f>D28*M28</f>
        <v/>
      </c>
    </row>
    <row r="29">
      <c r="B29" s="5" t="n">
        <v>4</v>
      </c>
      <c r="C29" s="5" t="n"/>
      <c r="D29" s="5" t="n"/>
      <c r="E29" s="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8">
        <f>D29*M29</f>
        <v/>
      </c>
    </row>
    <row r="30">
      <c r="B30" s="5" t="n">
        <v>5</v>
      </c>
      <c r="C30" s="5" t="n"/>
      <c r="D30" s="5" t="n"/>
      <c r="E30" s="8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8">
        <f>D30*M30</f>
        <v/>
      </c>
    </row>
    <row r="31">
      <c r="B31" s="5" t="n">
        <v>6</v>
      </c>
      <c r="C31" s="5" t="n"/>
      <c r="D31" s="5" t="n"/>
      <c r="E31" s="8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8">
        <f>D31*M31</f>
        <v/>
      </c>
    </row>
    <row r="32">
      <c r="B32" s="5" t="n">
        <v>7</v>
      </c>
      <c r="C32" s="5" t="n"/>
      <c r="D32" s="5" t="n"/>
      <c r="E32" s="8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8" t="n"/>
    </row>
    <row r="33" ht="20" customHeight="1">
      <c r="B33" s="5" t="n">
        <v>8</v>
      </c>
      <c r="C33" s="5" t="n"/>
      <c r="D33" s="5" t="n"/>
      <c r="E33" s="8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8" t="n"/>
    </row>
    <row r="34">
      <c r="B34" s="5" t="n">
        <v>9</v>
      </c>
      <c r="C34" s="5" t="n"/>
      <c r="D34" s="5" t="n"/>
      <c r="E34" s="8" t="n"/>
      <c r="F34" s="5" t="n"/>
      <c r="G34" s="5" t="n"/>
      <c r="H34" s="5" t="n"/>
      <c r="I34" s="5" t="n"/>
      <c r="J34" s="8">
        <f>D34*F34*H34</f>
        <v/>
      </c>
      <c r="K34" s="5" t="n"/>
      <c r="L34" s="5" t="n"/>
      <c r="M34" s="5" t="n"/>
      <c r="N34" s="5" t="n"/>
      <c r="O34" s="8" t="n"/>
    </row>
    <row r="35">
      <c r="B35" s="5" t="n">
        <v>10</v>
      </c>
      <c r="C35" s="5" t="n"/>
      <c r="D35" s="5" t="n"/>
      <c r="E35" s="8" t="n"/>
      <c r="F35" s="5" t="n"/>
      <c r="G35" s="5" t="n"/>
      <c r="H35" s="5" t="n"/>
      <c r="I35" s="5" t="n"/>
      <c r="J35" s="8">
        <f>D35*F35*H35</f>
        <v/>
      </c>
      <c r="K35" s="5" t="n"/>
      <c r="L35" s="5" t="n"/>
      <c r="M35" s="5" t="n"/>
      <c r="N35" s="5" t="n"/>
      <c r="O35" s="8" t="n"/>
    </row>
    <row r="36">
      <c r="J36" s="9">
        <f>D36*F36*H36</f>
        <v/>
      </c>
    </row>
    <row r="37">
      <c r="B37" s="10" t="inlineStr">
        <is>
          <t>Processes</t>
        </is>
      </c>
      <c r="J37" s="9">
        <f>D37*F37*H37</f>
        <v/>
      </c>
    </row>
    <row r="38">
      <c r="B38" s="11" t="inlineStr">
        <is>
          <t>ItemOrder</t>
        </is>
      </c>
      <c r="C38" s="11" t="inlineStr">
        <is>
          <t>Process</t>
        </is>
      </c>
      <c r="D38" s="11" t="inlineStr">
        <is>
          <t>Use</t>
        </is>
      </c>
      <c r="E38" s="11" t="inlineStr">
        <is>
          <t>UnitCost</t>
        </is>
      </c>
      <c r="F38" s="11" t="inlineStr">
        <is>
          <t>Unit</t>
        </is>
      </c>
      <c r="G38" s="11" t="inlineStr">
        <is>
          <t>Quantity</t>
        </is>
      </c>
      <c r="H38" s="11" t="inlineStr">
        <is>
          <t>Multiplier</t>
        </is>
      </c>
      <c r="I38" s="11" t="inlineStr">
        <is>
          <t>Mult. Val.</t>
        </is>
      </c>
      <c r="J38" s="15">
        <f>D38*F38*H38</f>
        <v/>
      </c>
    </row>
    <row r="39">
      <c r="B39" s="5" t="n">
        <v>1</v>
      </c>
      <c r="C39" s="5" t="n"/>
      <c r="D39" s="5" t="n"/>
      <c r="E39" s="8" t="n"/>
      <c r="F39" s="5" t="n"/>
      <c r="G39" s="5" t="n"/>
      <c r="H39" s="5" t="n"/>
      <c r="I39" s="5" t="n"/>
      <c r="J39" s="8">
        <f>D39*F39*H39</f>
        <v/>
      </c>
    </row>
    <row r="40">
      <c r="B40" s="5" t="n">
        <v>2</v>
      </c>
      <c r="C40" s="5" t="n"/>
      <c r="D40" s="5" t="n"/>
      <c r="E40" s="8" t="n"/>
      <c r="F40" s="5" t="n"/>
      <c r="G40" s="5" t="n"/>
      <c r="H40" s="5" t="n"/>
      <c r="I40" s="5" t="n"/>
      <c r="J40" s="8">
        <f>D40*F40*H40</f>
        <v/>
      </c>
    </row>
    <row r="41">
      <c r="B41" s="5" t="n">
        <v>3</v>
      </c>
      <c r="C41" s="5" t="n"/>
      <c r="D41" s="5" t="n"/>
      <c r="E41" s="8" t="n"/>
      <c r="F41" s="5" t="n"/>
      <c r="G41" s="5" t="n"/>
      <c r="H41" s="5" t="n"/>
      <c r="I41" s="5" t="n"/>
      <c r="J41" s="8">
        <f>D41*F41*H41</f>
        <v/>
      </c>
    </row>
    <row r="42">
      <c r="B42" s="5" t="n">
        <v>4</v>
      </c>
      <c r="C42" s="5" t="n"/>
      <c r="D42" s="5" t="n"/>
      <c r="E42" s="8" t="n"/>
      <c r="F42" s="5" t="n"/>
      <c r="G42" s="5" t="n"/>
      <c r="H42" s="5" t="n"/>
      <c r="I42" s="5" t="n"/>
      <c r="J42" s="8">
        <f>D42*F42*H42</f>
        <v/>
      </c>
    </row>
    <row r="43">
      <c r="B43" s="5" t="n">
        <v>5</v>
      </c>
      <c r="C43" s="5" t="n"/>
      <c r="D43" s="5" t="n"/>
      <c r="E43" s="8" t="n"/>
      <c r="F43" s="5" t="n"/>
      <c r="G43" s="5" t="n"/>
      <c r="H43" s="5" t="n"/>
      <c r="I43" s="5" t="n"/>
      <c r="J43" s="8">
        <f>D43*F43*H43</f>
        <v/>
      </c>
    </row>
    <row r="44">
      <c r="B44" s="5" t="n">
        <v>6</v>
      </c>
      <c r="C44" s="5" t="n"/>
      <c r="D44" s="5" t="n"/>
      <c r="E44" s="8" t="n"/>
      <c r="F44" s="5" t="n"/>
      <c r="G44" s="5" t="n"/>
      <c r="H44" s="5" t="n"/>
      <c r="I44" s="5" t="n"/>
      <c r="J44" s="8" t="n"/>
    </row>
    <row r="45" ht="20" customHeight="1">
      <c r="B45" s="5" t="n">
        <v>7</v>
      </c>
      <c r="C45" s="5" t="n"/>
      <c r="D45" s="5" t="n"/>
      <c r="E45" s="8" t="n"/>
      <c r="F45" s="5" t="n"/>
      <c r="G45" s="5" t="n"/>
      <c r="H45" s="5" t="n"/>
      <c r="I45" s="5" t="n"/>
      <c r="J45" s="8" t="n"/>
    </row>
    <row r="46">
      <c r="B46" s="5" t="n">
        <v>8</v>
      </c>
      <c r="C46" s="5" t="n"/>
      <c r="D46" s="5" t="n"/>
      <c r="E46" s="8" t="n"/>
      <c r="F46" s="5" t="n"/>
      <c r="G46" s="5" t="n"/>
      <c r="H46" s="5" t="n"/>
      <c r="I46" s="5" t="n"/>
      <c r="J46" s="8" t="n"/>
      <c r="K46" s="9">
        <f>D46*I46</f>
        <v/>
      </c>
    </row>
    <row r="47">
      <c r="B47" s="5" t="n">
        <v>9</v>
      </c>
      <c r="C47" s="5" t="n"/>
      <c r="D47" s="5" t="n"/>
      <c r="E47" s="8" t="n"/>
      <c r="F47" s="5" t="n"/>
      <c r="G47" s="5" t="n"/>
      <c r="H47" s="5" t="n"/>
      <c r="I47" s="5" t="n"/>
      <c r="J47" s="8" t="n"/>
      <c r="K47" s="9">
        <f>D47*I47</f>
        <v/>
      </c>
    </row>
    <row r="48">
      <c r="B48" s="5" t="n">
        <v>10</v>
      </c>
      <c r="C48" s="5" t="n"/>
      <c r="D48" s="5" t="n"/>
      <c r="E48" s="8" t="n"/>
      <c r="F48" s="5" t="n"/>
      <c r="G48" s="5" t="n"/>
      <c r="H48" s="5" t="n"/>
      <c r="I48" s="5" t="n"/>
      <c r="J48" s="8" t="n"/>
      <c r="K48" s="9">
        <f>D48*I48</f>
        <v/>
      </c>
    </row>
    <row r="49">
      <c r="K49" s="9">
        <f>D49*I49</f>
        <v/>
      </c>
    </row>
    <row r="50">
      <c r="B50" s="10" t="inlineStr">
        <is>
          <t>Fasteners</t>
        </is>
      </c>
      <c r="K50" s="9">
        <f>D50*I50</f>
        <v/>
      </c>
    </row>
    <row r="51">
      <c r="B51" s="11" t="inlineStr">
        <is>
          <t>ItemOrder</t>
        </is>
      </c>
      <c r="C51" s="11" t="inlineStr">
        <is>
          <t>Fastener</t>
        </is>
      </c>
      <c r="D51" s="11" t="inlineStr">
        <is>
          <t>Use</t>
        </is>
      </c>
      <c r="E51" s="11" t="inlineStr">
        <is>
          <t>UnitCost</t>
        </is>
      </c>
      <c r="F51" s="11" t="inlineStr">
        <is>
          <t>Size1</t>
        </is>
      </c>
      <c r="G51" s="11" t="inlineStr">
        <is>
          <t>Unit1</t>
        </is>
      </c>
      <c r="H51" s="11" t="inlineStr">
        <is>
          <t>Size2</t>
        </is>
      </c>
      <c r="I51" s="11" t="inlineStr">
        <is>
          <t>Unit2</t>
        </is>
      </c>
      <c r="J51" s="11" t="inlineStr">
        <is>
          <t>Quantity</t>
        </is>
      </c>
      <c r="K51" s="15">
        <f>D51*I51</f>
        <v/>
      </c>
    </row>
    <row r="52">
      <c r="B52" s="5" t="n">
        <v>1</v>
      </c>
      <c r="C52" s="5" t="n"/>
      <c r="D52" s="5" t="n"/>
      <c r="E52" s="8" t="n"/>
      <c r="F52" s="5" t="n"/>
      <c r="G52" s="5" t="n"/>
      <c r="H52" s="5" t="n"/>
      <c r="I52" s="5" t="n"/>
      <c r="J52" s="5" t="n"/>
      <c r="K52" s="8">
        <f>D52*I52</f>
        <v/>
      </c>
    </row>
    <row r="53">
      <c r="B53" s="5" t="n">
        <v>2</v>
      </c>
      <c r="C53" s="5" t="n"/>
      <c r="D53" s="5" t="n"/>
      <c r="E53" s="8" t="n"/>
      <c r="F53" s="5" t="n"/>
      <c r="G53" s="5" t="n"/>
      <c r="H53" s="5" t="n"/>
      <c r="I53" s="5" t="n"/>
      <c r="J53" s="5" t="n"/>
      <c r="K53" s="8">
        <f>D53*I53</f>
        <v/>
      </c>
    </row>
    <row r="54">
      <c r="B54" s="5" t="n">
        <v>3</v>
      </c>
      <c r="C54" s="5" t="n"/>
      <c r="D54" s="5" t="n"/>
      <c r="E54" s="8" t="n"/>
      <c r="F54" s="5" t="n"/>
      <c r="G54" s="5" t="n"/>
      <c r="H54" s="5" t="n"/>
      <c r="I54" s="5" t="n"/>
      <c r="J54" s="5" t="n"/>
      <c r="K54" s="8">
        <f>D54*I54</f>
        <v/>
      </c>
    </row>
    <row r="55">
      <c r="B55" s="5" t="n">
        <v>4</v>
      </c>
      <c r="C55" s="5" t="n"/>
      <c r="D55" s="5" t="n"/>
      <c r="E55" s="8" t="n"/>
      <c r="F55" s="5" t="n"/>
      <c r="G55" s="5" t="n"/>
      <c r="H55" s="5" t="n"/>
      <c r="I55" s="5" t="n"/>
      <c r="J55" s="5" t="n"/>
      <c r="K55" s="8">
        <f>D55*I55</f>
        <v/>
      </c>
    </row>
    <row r="56">
      <c r="B56" s="5" t="n">
        <v>5</v>
      </c>
      <c r="C56" s="5" t="n"/>
      <c r="D56" s="5" t="n"/>
      <c r="E56" s="8" t="n"/>
      <c r="F56" s="5" t="n"/>
      <c r="G56" s="5" t="n"/>
      <c r="H56" s="5" t="n"/>
      <c r="I56" s="5" t="n"/>
      <c r="J56" s="5" t="n"/>
      <c r="K56" s="8" t="n"/>
    </row>
    <row r="57" ht="20" customHeight="1">
      <c r="B57" s="5" t="n">
        <v>6</v>
      </c>
      <c r="C57" s="5" t="n"/>
      <c r="D57" s="5" t="n"/>
      <c r="E57" s="8" t="n"/>
      <c r="F57" s="5" t="n"/>
      <c r="G57" s="5" t="n"/>
      <c r="H57" s="5" t="n"/>
      <c r="I57" s="5" t="n"/>
      <c r="J57" s="5" t="n"/>
      <c r="K57" s="8" t="n"/>
    </row>
    <row r="58">
      <c r="B58" s="5" t="n">
        <v>7</v>
      </c>
      <c r="C58" s="5" t="n"/>
      <c r="D58" s="5" t="n"/>
      <c r="E58" s="8" t="n"/>
      <c r="F58" s="5" t="n"/>
      <c r="G58" s="5" t="n"/>
      <c r="H58" s="5" t="n"/>
      <c r="I58" s="5" t="n"/>
      <c r="J58" s="8">
        <f>D58*F58*G58*H58</f>
        <v/>
      </c>
      <c r="K58" s="8" t="n"/>
    </row>
    <row r="59">
      <c r="B59" s="5" t="n">
        <v>8</v>
      </c>
      <c r="C59" s="5" t="n"/>
      <c r="D59" s="5" t="n"/>
      <c r="E59" s="8" t="n"/>
      <c r="F59" s="5" t="n"/>
      <c r="G59" s="5" t="n"/>
      <c r="H59" s="5" t="n"/>
      <c r="I59" s="5" t="n"/>
      <c r="J59" s="8">
        <f>D59*F59*G59*H59</f>
        <v/>
      </c>
      <c r="K59" s="8" t="n"/>
    </row>
    <row r="60">
      <c r="B60" s="5" t="n">
        <v>9</v>
      </c>
      <c r="C60" s="5" t="n"/>
      <c r="D60" s="5" t="n"/>
      <c r="E60" s="8" t="n"/>
      <c r="F60" s="5" t="n"/>
      <c r="G60" s="5" t="n"/>
      <c r="H60" s="5" t="n"/>
      <c r="I60" s="5" t="n"/>
      <c r="J60" s="8">
        <f>D60*F60*G60*H60</f>
        <v/>
      </c>
      <c r="K60" s="8" t="n"/>
    </row>
    <row r="61">
      <c r="B61" s="5" t="n">
        <v>10</v>
      </c>
      <c r="C61" s="5" t="n"/>
      <c r="D61" s="5" t="n"/>
      <c r="E61" s="8" t="n"/>
      <c r="F61" s="5" t="n"/>
      <c r="G61" s="5" t="n"/>
      <c r="H61" s="5" t="n"/>
      <c r="I61" s="5" t="n"/>
      <c r="J61" s="8">
        <f>D61*F61*G61*H61</f>
        <v/>
      </c>
      <c r="K61" s="8" t="n"/>
    </row>
    <row r="62">
      <c r="J62" s="9">
        <f>D62*F62*G62*H62</f>
        <v/>
      </c>
    </row>
    <row r="63">
      <c r="B63" s="10" t="inlineStr">
        <is>
          <t>Tooling</t>
        </is>
      </c>
    </row>
    <row r="64">
      <c r="B64" s="11" t="inlineStr">
        <is>
          <t>ItemOrder</t>
        </is>
      </c>
      <c r="C64" s="11" t="inlineStr">
        <is>
          <t>Tooling</t>
        </is>
      </c>
      <c r="D64" s="11" t="inlineStr">
        <is>
          <t>Use</t>
        </is>
      </c>
      <c r="E64" s="11" t="inlineStr">
        <is>
          <t>UnitCost</t>
        </is>
      </c>
      <c r="F64" s="11" t="inlineStr">
        <is>
          <t>Unit</t>
        </is>
      </c>
      <c r="G64" s="11" t="inlineStr">
        <is>
          <t>Quantity</t>
        </is>
      </c>
      <c r="H64" s="11" t="inlineStr">
        <is>
          <t>PVF</t>
        </is>
      </c>
      <c r="I64" s="11" t="inlineStr">
        <is>
          <t>FractionIncluded</t>
        </is>
      </c>
      <c r="J64" s="11" t="inlineStr">
        <is>
          <t>Sub Total</t>
        </is>
      </c>
    </row>
    <row r="65">
      <c r="B65" s="5" t="n">
        <v>1</v>
      </c>
      <c r="C65" s="5" t="n"/>
      <c r="D65" s="5" t="n"/>
      <c r="E65" s="8" t="n"/>
      <c r="F65" s="5" t="n"/>
      <c r="G65" s="5" t="n"/>
      <c r="H65" s="5" t="n"/>
      <c r="I65" s="5" t="n"/>
      <c r="J65" s="8" t="n"/>
    </row>
    <row r="66">
      <c r="B66" s="5" t="n">
        <v>2</v>
      </c>
      <c r="C66" s="5" t="n"/>
      <c r="D66" s="5" t="n"/>
      <c r="E66" s="8" t="n"/>
      <c r="F66" s="5" t="n"/>
      <c r="G66" s="5" t="n"/>
      <c r="H66" s="5" t="n"/>
      <c r="I66" s="5" t="n"/>
      <c r="J66" s="8" t="n"/>
    </row>
    <row r="67">
      <c r="B67" s="5" t="n">
        <v>3</v>
      </c>
      <c r="C67" s="5" t="n"/>
      <c r="D67" s="5" t="n"/>
      <c r="E67" s="8" t="n"/>
      <c r="F67" s="5" t="n"/>
      <c r="G67" s="5" t="n"/>
      <c r="H67" s="5" t="n"/>
      <c r="I67" s="5" t="n"/>
      <c r="J67" s="8" t="n"/>
    </row>
    <row r="68">
      <c r="B68" s="5" t="n">
        <v>4</v>
      </c>
      <c r="C68" s="5" t="n"/>
      <c r="D68" s="5" t="n"/>
      <c r="E68" s="8" t="n"/>
      <c r="F68" s="5" t="n"/>
      <c r="G68" s="5" t="n"/>
      <c r="H68" s="5" t="n"/>
      <c r="I68" s="5" t="n"/>
      <c r="J68" s="8" t="n"/>
    </row>
    <row r="69">
      <c r="B69" s="5" t="n">
        <v>5</v>
      </c>
      <c r="C69" s="5" t="n"/>
      <c r="D69" s="5" t="n"/>
      <c r="E69" s="8" t="n"/>
      <c r="F69" s="5" t="n"/>
      <c r="G69" s="5" t="n"/>
      <c r="H69" s="5" t="n"/>
      <c r="I69" s="5" t="n"/>
      <c r="J69" s="8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0"/>
  <mergeCells count="1">
    <mergeCell ref="C7:H7"/>
  </mergeCells>
  <conditionalFormatting sqref="C10:C20">
    <cfRule type="cellIs" priority="1" operator="equal" dxfId="0" stopIfTrue="1">
      <formula>""</formula>
    </cfRule>
  </conditionalFormatting>
  <conditionalFormatting sqref="D10:D20">
    <cfRule type="expression" priority="2" dxfId="1" stopIfTrue="1">
      <formula>AND(C10&lt;&gt;"", D10="")</formula>
    </cfRule>
  </conditionalFormatting>
  <conditionalFormatting sqref="C22:C32">
    <cfRule type="cellIs" priority="3" operator="equal" dxfId="0" stopIfTrue="1">
      <formula>""</formula>
    </cfRule>
  </conditionalFormatting>
  <conditionalFormatting sqref="C34:C44">
    <cfRule type="cellIs" priority="4" operator="equal" dxfId="0" stopIfTrue="1">
      <formula>""</formula>
    </cfRule>
  </conditionalFormatting>
  <conditionalFormatting sqref="C46:C56">
    <cfRule type="cellIs" priority="5" operator="equal" dxfId="1" stopIfTrue="1">
      <formula>""</formula>
    </cfRule>
  </conditionalFormatting>
  <conditionalFormatting sqref="C58:C63">
    <cfRule type="cellIs" priority="6" operator="equal" dxfId="1" stopIfTrue="1">
      <formula>""</formula>
    </cfRule>
  </conditionalFormatting>
  <pageMargins left="0.5" right="0.5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2" max="2"/>
    <col width="25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B1" s="2" t="inlineStr">
        <is>
          <t>University:</t>
        </is>
      </c>
      <c r="C1" t="inlineStr">
        <is>
          <t>Ajeenkya DY Patil University</t>
        </is>
      </c>
    </row>
    <row r="2">
      <c r="B2" s="2" t="inlineStr">
        <is>
          <t>Team Name:</t>
        </is>
      </c>
      <c r="C2" t="inlineStr">
        <is>
          <t>Javitron</t>
        </is>
      </c>
    </row>
    <row r="3">
      <c r="B3" s="2" t="inlineStr">
        <is>
          <t>System:</t>
        </is>
      </c>
      <c r="C3" t="inlineStr">
        <is>
          <t>Engine &amp; Drivetrain</t>
        </is>
      </c>
    </row>
    <row r="4">
      <c r="B4" s="2" t="inlineStr">
        <is>
          <t>Assembly:</t>
        </is>
      </c>
    </row>
    <row r="5">
      <c r="B5" s="2" t="inlineStr">
        <is>
          <t>P/N Base:</t>
        </is>
      </c>
      <c r="C5" t="inlineStr">
        <is>
          <t>EN-XX-001</t>
        </is>
      </c>
    </row>
    <row r="6">
      <c r="B6" s="2" t="inlineStr">
        <is>
          <t>Suffix:</t>
        </is>
      </c>
    </row>
    <row r="7">
      <c r="B7" s="2" t="inlineStr">
        <is>
          <t>Details:</t>
        </is>
      </c>
    </row>
    <row r="8"/>
    <row r="9" ht="20" customHeight="1">
      <c r="B9" s="2" t="inlineStr">
        <is>
          <t>Car #:</t>
        </is>
      </c>
      <c r="D9" s="2" t="inlineStr">
        <is>
          <t>Asm Cost:</t>
        </is>
      </c>
      <c r="E9" s="9">
        <f>0</f>
        <v/>
      </c>
      <c r="F9" s="2" t="inlineStr">
        <is>
          <t>Qty:</t>
        </is>
      </c>
      <c r="G9" t="inlineStr">
        <is>
          <t>1</t>
        </is>
      </c>
      <c r="H9" s="2" t="inlineStr">
        <is>
          <t>Extended Cost:</t>
        </is>
      </c>
      <c r="I9" s="9">
        <f>E*G</f>
        <v/>
      </c>
    </row>
    <row r="10">
      <c r="F10" s="9">
        <f>D10*E10</f>
        <v/>
      </c>
    </row>
    <row r="11">
      <c r="B11" s="10" t="inlineStr">
        <is>
          <t>Parts</t>
        </is>
      </c>
      <c r="F11" s="9">
        <f>D11*E11</f>
        <v/>
      </c>
    </row>
    <row r="12">
      <c r="B12" s="4" t="inlineStr">
        <is>
          <t>ItemOrder</t>
        </is>
      </c>
      <c r="C12" s="4" t="inlineStr">
        <is>
          <t>Part</t>
        </is>
      </c>
      <c r="D12" s="4" t="inlineStr">
        <is>
          <t>Part Cost</t>
        </is>
      </c>
      <c r="E12" s="4" t="inlineStr">
        <is>
          <t>Quantity</t>
        </is>
      </c>
      <c r="F12" s="14">
        <f>D12*E12</f>
        <v/>
      </c>
    </row>
    <row r="13">
      <c r="B13" s="5" t="n">
        <v>1</v>
      </c>
      <c r="C13" s="5" t="n"/>
      <c r="D13" s="5" t="n"/>
      <c r="E13" s="8" t="n"/>
      <c r="F13" s="8">
        <f>D13*E13</f>
        <v/>
      </c>
    </row>
    <row r="14">
      <c r="B14" s="5" t="n">
        <v>2</v>
      </c>
      <c r="C14" s="5" t="n"/>
      <c r="D14" s="5" t="n"/>
      <c r="E14" s="8" t="n"/>
      <c r="F14" s="8">
        <f>D14*E14</f>
        <v/>
      </c>
    </row>
    <row r="15">
      <c r="B15" s="5" t="n">
        <v>3</v>
      </c>
      <c r="C15" s="5" t="n"/>
      <c r="D15" s="5" t="n"/>
      <c r="E15" s="8" t="n"/>
      <c r="F15" s="8">
        <f>D15*E15</f>
        <v/>
      </c>
    </row>
    <row r="16">
      <c r="B16" s="5" t="n">
        <v>4</v>
      </c>
      <c r="C16" s="5" t="n"/>
      <c r="D16" s="5" t="n"/>
      <c r="E16" s="8" t="n"/>
      <c r="F16" s="8">
        <f>D16*E16</f>
        <v/>
      </c>
    </row>
    <row r="17">
      <c r="B17" s="5" t="n">
        <v>5</v>
      </c>
      <c r="C17" s="5" t="n"/>
      <c r="D17" s="5" t="n"/>
      <c r="E17" s="8" t="n"/>
      <c r="F17" s="8">
        <f>D17*E17</f>
        <v/>
      </c>
    </row>
    <row r="18">
      <c r="B18" s="5" t="n">
        <v>6</v>
      </c>
      <c r="C18" s="5" t="n"/>
      <c r="D18" s="5" t="n"/>
      <c r="E18" s="8" t="n"/>
      <c r="F18" s="8">
        <f>D18*E18</f>
        <v/>
      </c>
    </row>
    <row r="19">
      <c r="B19" s="5" t="n">
        <v>7</v>
      </c>
      <c r="C19" s="5" t="n"/>
      <c r="D19" s="5" t="n"/>
      <c r="E19" s="8" t="n"/>
      <c r="F19" s="8">
        <f>D19*E19</f>
        <v/>
      </c>
    </row>
    <row r="20">
      <c r="B20" s="5" t="n">
        <v>8</v>
      </c>
      <c r="C20" s="5" t="n"/>
      <c r="D20" s="5" t="n"/>
      <c r="E20" s="8" t="n"/>
      <c r="F20" s="8" t="n"/>
    </row>
    <row r="21" ht="20" customHeight="1">
      <c r="B21" s="5" t="n">
        <v>9</v>
      </c>
      <c r="C21" s="5" t="n"/>
      <c r="D21" s="5" t="n"/>
      <c r="E21" s="8" t="n"/>
      <c r="F21" s="8" t="n"/>
    </row>
    <row r="22">
      <c r="B22" s="5" t="n">
        <v>10</v>
      </c>
      <c r="C22" s="5" t="n"/>
      <c r="D22" s="5" t="n"/>
      <c r="E22" s="8" t="n"/>
      <c r="F22" s="8" t="n"/>
      <c r="O22" s="9">
        <f>D22*M22</f>
        <v/>
      </c>
    </row>
    <row r="23">
      <c r="O23" s="9">
        <f>D23*M23</f>
        <v/>
      </c>
    </row>
    <row r="24">
      <c r="B24" s="10" t="inlineStr">
        <is>
          <t>Materials</t>
        </is>
      </c>
      <c r="O24" s="9">
        <f>D24*M24</f>
        <v/>
      </c>
    </row>
    <row r="25">
      <c r="B25" s="11" t="inlineStr">
        <is>
          <t>ItemOrder</t>
        </is>
      </c>
      <c r="C25" s="11" t="inlineStr">
        <is>
          <t>Material</t>
        </is>
      </c>
      <c r="D25" s="11" t="inlineStr">
        <is>
          <t>Use</t>
        </is>
      </c>
      <c r="E25" s="11" t="inlineStr">
        <is>
          <t>UnitCost</t>
        </is>
      </c>
      <c r="F25" s="11" t="inlineStr">
        <is>
          <t>Unit</t>
        </is>
      </c>
      <c r="G25" s="11" t="inlineStr">
        <is>
          <t>Size1</t>
        </is>
      </c>
      <c r="H25" s="11" t="inlineStr">
        <is>
          <t>Unit1</t>
        </is>
      </c>
      <c r="I25" s="11" t="inlineStr">
        <is>
          <t>Size2</t>
        </is>
      </c>
      <c r="J25" s="11" t="inlineStr">
        <is>
          <t>Unit2</t>
        </is>
      </c>
      <c r="K25" s="11" t="inlineStr">
        <is>
          <t>Area</t>
        </is>
      </c>
      <c r="L25" s="11" t="inlineStr">
        <is>
          <t>Length</t>
        </is>
      </c>
      <c r="M25" s="11" t="inlineStr">
        <is>
          <t>Density</t>
        </is>
      </c>
      <c r="N25" s="11" t="inlineStr">
        <is>
          <t>Quantity</t>
        </is>
      </c>
      <c r="O25" s="15">
        <f>D25*M25</f>
        <v/>
      </c>
    </row>
    <row r="26">
      <c r="B26" s="5" t="n">
        <v>1</v>
      </c>
      <c r="C26" s="5" t="n"/>
      <c r="D26" s="5" t="n"/>
      <c r="E26" s="8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8">
        <f>D26*M26</f>
        <v/>
      </c>
    </row>
    <row r="27">
      <c r="B27" s="5" t="n">
        <v>2</v>
      </c>
      <c r="C27" s="5" t="n"/>
      <c r="D27" s="5" t="n"/>
      <c r="E27" s="8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8">
        <f>D27*M27</f>
        <v/>
      </c>
    </row>
    <row r="28">
      <c r="B28" s="5" t="n">
        <v>3</v>
      </c>
      <c r="C28" s="5" t="n"/>
      <c r="D28" s="5" t="n"/>
      <c r="E28" s="8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8">
        <f>D28*M28</f>
        <v/>
      </c>
    </row>
    <row r="29">
      <c r="B29" s="5" t="n">
        <v>4</v>
      </c>
      <c r="C29" s="5" t="n"/>
      <c r="D29" s="5" t="n"/>
      <c r="E29" s="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8">
        <f>D29*M29</f>
        <v/>
      </c>
    </row>
    <row r="30">
      <c r="B30" s="5" t="n">
        <v>5</v>
      </c>
      <c r="C30" s="5" t="n"/>
      <c r="D30" s="5" t="n"/>
      <c r="E30" s="8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8">
        <f>D30*M30</f>
        <v/>
      </c>
    </row>
    <row r="31">
      <c r="B31" s="5" t="n">
        <v>6</v>
      </c>
      <c r="C31" s="5" t="n"/>
      <c r="D31" s="5" t="n"/>
      <c r="E31" s="8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8">
        <f>D31*M31</f>
        <v/>
      </c>
    </row>
    <row r="32">
      <c r="B32" s="5" t="n">
        <v>7</v>
      </c>
      <c r="C32" s="5" t="n"/>
      <c r="D32" s="5" t="n"/>
      <c r="E32" s="8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8" t="n"/>
    </row>
    <row r="33" ht="20" customHeight="1">
      <c r="B33" s="5" t="n">
        <v>8</v>
      </c>
      <c r="C33" s="5" t="n"/>
      <c r="D33" s="5" t="n"/>
      <c r="E33" s="8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8" t="n"/>
    </row>
    <row r="34">
      <c r="B34" s="5" t="n">
        <v>9</v>
      </c>
      <c r="C34" s="5" t="n"/>
      <c r="D34" s="5" t="n"/>
      <c r="E34" s="8" t="n"/>
      <c r="F34" s="5" t="n"/>
      <c r="G34" s="5" t="n"/>
      <c r="H34" s="5" t="n"/>
      <c r="I34" s="5" t="n"/>
      <c r="J34" s="8">
        <f>D34*F34*H34</f>
        <v/>
      </c>
      <c r="K34" s="5" t="n"/>
      <c r="L34" s="5" t="n"/>
      <c r="M34" s="5" t="n"/>
      <c r="N34" s="5" t="n"/>
      <c r="O34" s="8" t="n"/>
    </row>
    <row r="35">
      <c r="B35" s="5" t="n">
        <v>10</v>
      </c>
      <c r="C35" s="5" t="n"/>
      <c r="D35" s="5" t="n"/>
      <c r="E35" s="8" t="n"/>
      <c r="F35" s="5" t="n"/>
      <c r="G35" s="5" t="n"/>
      <c r="H35" s="5" t="n"/>
      <c r="I35" s="5" t="n"/>
      <c r="J35" s="8">
        <f>D35*F35*H35</f>
        <v/>
      </c>
      <c r="K35" s="5" t="n"/>
      <c r="L35" s="5" t="n"/>
      <c r="M35" s="5" t="n"/>
      <c r="N35" s="5" t="n"/>
      <c r="O35" s="8" t="n"/>
    </row>
    <row r="36">
      <c r="J36" s="9">
        <f>D36*F36*H36</f>
        <v/>
      </c>
    </row>
    <row r="37">
      <c r="B37" s="10" t="inlineStr">
        <is>
          <t>Processes</t>
        </is>
      </c>
      <c r="J37" s="9">
        <f>D37*F37*H37</f>
        <v/>
      </c>
    </row>
    <row r="38">
      <c r="B38" s="11" t="inlineStr">
        <is>
          <t>ItemOrder</t>
        </is>
      </c>
      <c r="C38" s="11" t="inlineStr">
        <is>
          <t>Process</t>
        </is>
      </c>
      <c r="D38" s="11" t="inlineStr">
        <is>
          <t>Use</t>
        </is>
      </c>
      <c r="E38" s="11" t="inlineStr">
        <is>
          <t>UnitCost</t>
        </is>
      </c>
      <c r="F38" s="11" t="inlineStr">
        <is>
          <t>Unit</t>
        </is>
      </c>
      <c r="G38" s="11" t="inlineStr">
        <is>
          <t>Quantity</t>
        </is>
      </c>
      <c r="H38" s="11" t="inlineStr">
        <is>
          <t>Multiplier</t>
        </is>
      </c>
      <c r="I38" s="11" t="inlineStr">
        <is>
          <t>Mult. Val.</t>
        </is>
      </c>
      <c r="J38" s="15">
        <f>D38*F38*H38</f>
        <v/>
      </c>
    </row>
    <row r="39">
      <c r="B39" s="5" t="n">
        <v>1</v>
      </c>
      <c r="C39" s="5" t="n"/>
      <c r="D39" s="5" t="n"/>
      <c r="E39" s="8" t="n"/>
      <c r="F39" s="5" t="n"/>
      <c r="G39" s="5" t="n"/>
      <c r="H39" s="5" t="n"/>
      <c r="I39" s="5" t="n"/>
      <c r="J39" s="8">
        <f>D39*F39*H39</f>
        <v/>
      </c>
    </row>
    <row r="40">
      <c r="B40" s="5" t="n">
        <v>2</v>
      </c>
      <c r="C40" s="5" t="n"/>
      <c r="D40" s="5" t="n"/>
      <c r="E40" s="8" t="n"/>
      <c r="F40" s="5" t="n"/>
      <c r="G40" s="5" t="n"/>
      <c r="H40" s="5" t="n"/>
      <c r="I40" s="5" t="n"/>
      <c r="J40" s="8">
        <f>D40*F40*H40</f>
        <v/>
      </c>
    </row>
    <row r="41">
      <c r="B41" s="5" t="n">
        <v>3</v>
      </c>
      <c r="C41" s="5" t="n"/>
      <c r="D41" s="5" t="n"/>
      <c r="E41" s="8" t="n"/>
      <c r="F41" s="5" t="n"/>
      <c r="G41" s="5" t="n"/>
      <c r="H41" s="5" t="n"/>
      <c r="I41" s="5" t="n"/>
      <c r="J41" s="8">
        <f>D41*F41*H41</f>
        <v/>
      </c>
    </row>
    <row r="42">
      <c r="B42" s="5" t="n">
        <v>4</v>
      </c>
      <c r="C42" s="5" t="n"/>
      <c r="D42" s="5" t="n"/>
      <c r="E42" s="8" t="n"/>
      <c r="F42" s="5" t="n"/>
      <c r="G42" s="5" t="n"/>
      <c r="H42" s="5" t="n"/>
      <c r="I42" s="5" t="n"/>
      <c r="J42" s="8">
        <f>D42*F42*H42</f>
        <v/>
      </c>
    </row>
    <row r="43">
      <c r="B43" s="5" t="n">
        <v>5</v>
      </c>
      <c r="C43" s="5" t="n"/>
      <c r="D43" s="5" t="n"/>
      <c r="E43" s="8" t="n"/>
      <c r="F43" s="5" t="n"/>
      <c r="G43" s="5" t="n"/>
      <c r="H43" s="5" t="n"/>
      <c r="I43" s="5" t="n"/>
      <c r="J43" s="8">
        <f>D43*F43*H43</f>
        <v/>
      </c>
    </row>
    <row r="44">
      <c r="B44" s="5" t="n">
        <v>6</v>
      </c>
      <c r="C44" s="5" t="n"/>
      <c r="D44" s="5" t="n"/>
      <c r="E44" s="8" t="n"/>
      <c r="F44" s="5" t="n"/>
      <c r="G44" s="5" t="n"/>
      <c r="H44" s="5" t="n"/>
      <c r="I44" s="5" t="n"/>
      <c r="J44" s="8" t="n"/>
    </row>
    <row r="45" ht="20" customHeight="1">
      <c r="B45" s="5" t="n">
        <v>7</v>
      </c>
      <c r="C45" s="5" t="n"/>
      <c r="D45" s="5" t="n"/>
      <c r="E45" s="8" t="n"/>
      <c r="F45" s="5" t="n"/>
      <c r="G45" s="5" t="n"/>
      <c r="H45" s="5" t="n"/>
      <c r="I45" s="5" t="n"/>
      <c r="J45" s="8" t="n"/>
    </row>
    <row r="46">
      <c r="B46" s="5" t="n">
        <v>8</v>
      </c>
      <c r="C46" s="5" t="n"/>
      <c r="D46" s="5" t="n"/>
      <c r="E46" s="8" t="n"/>
      <c r="F46" s="5" t="n"/>
      <c r="G46" s="5" t="n"/>
      <c r="H46" s="5" t="n"/>
      <c r="I46" s="5" t="n"/>
      <c r="J46" s="8" t="n"/>
      <c r="K46" s="9">
        <f>D46*I46</f>
        <v/>
      </c>
    </row>
    <row r="47">
      <c r="B47" s="5" t="n">
        <v>9</v>
      </c>
      <c r="C47" s="5" t="n"/>
      <c r="D47" s="5" t="n"/>
      <c r="E47" s="8" t="n"/>
      <c r="F47" s="5" t="n"/>
      <c r="G47" s="5" t="n"/>
      <c r="H47" s="5" t="n"/>
      <c r="I47" s="5" t="n"/>
      <c r="J47" s="8" t="n"/>
      <c r="K47" s="9">
        <f>D47*I47</f>
        <v/>
      </c>
    </row>
    <row r="48">
      <c r="B48" s="5" t="n">
        <v>10</v>
      </c>
      <c r="C48" s="5" t="n"/>
      <c r="D48" s="5" t="n"/>
      <c r="E48" s="8" t="n"/>
      <c r="F48" s="5" t="n"/>
      <c r="G48" s="5" t="n"/>
      <c r="H48" s="5" t="n"/>
      <c r="I48" s="5" t="n"/>
      <c r="J48" s="8" t="n"/>
      <c r="K48" s="9">
        <f>D48*I48</f>
        <v/>
      </c>
    </row>
    <row r="49">
      <c r="K49" s="9">
        <f>D49*I49</f>
        <v/>
      </c>
    </row>
    <row r="50">
      <c r="B50" s="10" t="inlineStr">
        <is>
          <t>Fasteners</t>
        </is>
      </c>
      <c r="K50" s="9">
        <f>D50*I50</f>
        <v/>
      </c>
    </row>
    <row r="51">
      <c r="B51" s="11" t="inlineStr">
        <is>
          <t>ItemOrder</t>
        </is>
      </c>
      <c r="C51" s="11" t="inlineStr">
        <is>
          <t>Fastener</t>
        </is>
      </c>
      <c r="D51" s="11" t="inlineStr">
        <is>
          <t>Use</t>
        </is>
      </c>
      <c r="E51" s="11" t="inlineStr">
        <is>
          <t>UnitCost</t>
        </is>
      </c>
      <c r="F51" s="11" t="inlineStr">
        <is>
          <t>Size1</t>
        </is>
      </c>
      <c r="G51" s="11" t="inlineStr">
        <is>
          <t>Unit1</t>
        </is>
      </c>
      <c r="H51" s="11" t="inlineStr">
        <is>
          <t>Size2</t>
        </is>
      </c>
      <c r="I51" s="11" t="inlineStr">
        <is>
          <t>Unit2</t>
        </is>
      </c>
      <c r="J51" s="11" t="inlineStr">
        <is>
          <t>Quantity</t>
        </is>
      </c>
      <c r="K51" s="15">
        <f>D51*I51</f>
        <v/>
      </c>
    </row>
    <row r="52">
      <c r="B52" s="5" t="n">
        <v>1</v>
      </c>
      <c r="C52" s="5" t="n"/>
      <c r="D52" s="5" t="n"/>
      <c r="E52" s="8" t="n"/>
      <c r="F52" s="5" t="n"/>
      <c r="G52" s="5" t="n"/>
      <c r="H52" s="5" t="n"/>
      <c r="I52" s="5" t="n"/>
      <c r="J52" s="5" t="n"/>
      <c r="K52" s="8">
        <f>D52*I52</f>
        <v/>
      </c>
    </row>
    <row r="53">
      <c r="B53" s="5" t="n">
        <v>2</v>
      </c>
      <c r="C53" s="5" t="n"/>
      <c r="D53" s="5" t="n"/>
      <c r="E53" s="8" t="n"/>
      <c r="F53" s="5" t="n"/>
      <c r="G53" s="5" t="n"/>
      <c r="H53" s="5" t="n"/>
      <c r="I53" s="5" t="n"/>
      <c r="J53" s="5" t="n"/>
      <c r="K53" s="8">
        <f>D53*I53</f>
        <v/>
      </c>
    </row>
    <row r="54">
      <c r="B54" s="5" t="n">
        <v>3</v>
      </c>
      <c r="C54" s="5" t="n"/>
      <c r="D54" s="5" t="n"/>
      <c r="E54" s="8" t="n"/>
      <c r="F54" s="5" t="n"/>
      <c r="G54" s="5" t="n"/>
      <c r="H54" s="5" t="n"/>
      <c r="I54" s="5" t="n"/>
      <c r="J54" s="5" t="n"/>
      <c r="K54" s="8">
        <f>D54*I54</f>
        <v/>
      </c>
    </row>
    <row r="55">
      <c r="B55" s="5" t="n">
        <v>4</v>
      </c>
      <c r="C55" s="5" t="n"/>
      <c r="D55" s="5" t="n"/>
      <c r="E55" s="8" t="n"/>
      <c r="F55" s="5" t="n"/>
      <c r="G55" s="5" t="n"/>
      <c r="H55" s="5" t="n"/>
      <c r="I55" s="5" t="n"/>
      <c r="J55" s="5" t="n"/>
      <c r="K55" s="8">
        <f>D55*I55</f>
        <v/>
      </c>
    </row>
    <row r="56">
      <c r="B56" s="5" t="n">
        <v>5</v>
      </c>
      <c r="C56" s="5" t="n"/>
      <c r="D56" s="5" t="n"/>
      <c r="E56" s="8" t="n"/>
      <c r="F56" s="5" t="n"/>
      <c r="G56" s="5" t="n"/>
      <c r="H56" s="5" t="n"/>
      <c r="I56" s="5" t="n"/>
      <c r="J56" s="5" t="n"/>
      <c r="K56" s="8" t="n"/>
    </row>
    <row r="57" ht="20" customHeight="1">
      <c r="B57" s="5" t="n">
        <v>6</v>
      </c>
      <c r="C57" s="5" t="n"/>
      <c r="D57" s="5" t="n"/>
      <c r="E57" s="8" t="n"/>
      <c r="F57" s="5" t="n"/>
      <c r="G57" s="5" t="n"/>
      <c r="H57" s="5" t="n"/>
      <c r="I57" s="5" t="n"/>
      <c r="J57" s="5" t="n"/>
      <c r="K57" s="8" t="n"/>
    </row>
    <row r="58">
      <c r="B58" s="5" t="n">
        <v>7</v>
      </c>
      <c r="C58" s="5" t="n"/>
      <c r="D58" s="5" t="n"/>
      <c r="E58" s="8" t="n"/>
      <c r="F58" s="5" t="n"/>
      <c r="G58" s="5" t="n"/>
      <c r="H58" s="5" t="n"/>
      <c r="I58" s="5" t="n"/>
      <c r="J58" s="8">
        <f>D58*F58*G58*H58</f>
        <v/>
      </c>
      <c r="K58" s="8" t="n"/>
    </row>
    <row r="59">
      <c r="B59" s="5" t="n">
        <v>8</v>
      </c>
      <c r="C59" s="5" t="n"/>
      <c r="D59" s="5" t="n"/>
      <c r="E59" s="8" t="n"/>
      <c r="F59" s="5" t="n"/>
      <c r="G59" s="5" t="n"/>
      <c r="H59" s="5" t="n"/>
      <c r="I59" s="5" t="n"/>
      <c r="J59" s="8">
        <f>D59*F59*G59*H59</f>
        <v/>
      </c>
      <c r="K59" s="8" t="n"/>
    </row>
    <row r="60">
      <c r="B60" s="5" t="n">
        <v>9</v>
      </c>
      <c r="C60" s="5" t="n"/>
      <c r="D60" s="5" t="n"/>
      <c r="E60" s="8" t="n"/>
      <c r="F60" s="5" t="n"/>
      <c r="G60" s="5" t="n"/>
      <c r="H60" s="5" t="n"/>
      <c r="I60" s="5" t="n"/>
      <c r="J60" s="8">
        <f>D60*F60*G60*H60</f>
        <v/>
      </c>
      <c r="K60" s="8" t="n"/>
    </row>
    <row r="61">
      <c r="B61" s="5" t="n">
        <v>10</v>
      </c>
      <c r="C61" s="5" t="n"/>
      <c r="D61" s="5" t="n"/>
      <c r="E61" s="8" t="n"/>
      <c r="F61" s="5" t="n"/>
      <c r="G61" s="5" t="n"/>
      <c r="H61" s="5" t="n"/>
      <c r="I61" s="5" t="n"/>
      <c r="J61" s="8">
        <f>D61*F61*G61*H61</f>
        <v/>
      </c>
      <c r="K61" s="8" t="n"/>
    </row>
    <row r="62">
      <c r="J62" s="9">
        <f>D62*F62*G62*H62</f>
        <v/>
      </c>
    </row>
    <row r="63">
      <c r="B63" s="10" t="inlineStr">
        <is>
          <t>Tooling</t>
        </is>
      </c>
    </row>
    <row r="64">
      <c r="B64" s="11" t="inlineStr">
        <is>
          <t>ItemOrder</t>
        </is>
      </c>
      <c r="C64" s="11" t="inlineStr">
        <is>
          <t>Tooling</t>
        </is>
      </c>
      <c r="D64" s="11" t="inlineStr">
        <is>
          <t>Use</t>
        </is>
      </c>
      <c r="E64" s="11" t="inlineStr">
        <is>
          <t>UnitCost</t>
        </is>
      </c>
      <c r="F64" s="11" t="inlineStr">
        <is>
          <t>Unit</t>
        </is>
      </c>
      <c r="G64" s="11" t="inlineStr">
        <is>
          <t>Quantity</t>
        </is>
      </c>
      <c r="H64" s="11" t="inlineStr">
        <is>
          <t>PVF</t>
        </is>
      </c>
      <c r="I64" s="11" t="inlineStr">
        <is>
          <t>FractionIncluded</t>
        </is>
      </c>
      <c r="J64" s="11" t="inlineStr">
        <is>
          <t>Sub Total</t>
        </is>
      </c>
    </row>
    <row r="65">
      <c r="B65" s="5" t="n">
        <v>1</v>
      </c>
      <c r="C65" s="5" t="n"/>
      <c r="D65" s="5" t="n"/>
      <c r="E65" s="8" t="n"/>
      <c r="F65" s="5" t="n"/>
      <c r="G65" s="5" t="n"/>
      <c r="H65" s="5" t="n"/>
      <c r="I65" s="5" t="n"/>
      <c r="J65" s="8" t="n"/>
    </row>
    <row r="66">
      <c r="B66" s="5" t="n">
        <v>2</v>
      </c>
      <c r="C66" s="5" t="n"/>
      <c r="D66" s="5" t="n"/>
      <c r="E66" s="8" t="n"/>
      <c r="F66" s="5" t="n"/>
      <c r="G66" s="5" t="n"/>
      <c r="H66" s="5" t="n"/>
      <c r="I66" s="5" t="n"/>
      <c r="J66" s="8" t="n"/>
    </row>
    <row r="67">
      <c r="B67" s="5" t="n">
        <v>3</v>
      </c>
      <c r="C67" s="5" t="n"/>
      <c r="D67" s="5" t="n"/>
      <c r="E67" s="8" t="n"/>
      <c r="F67" s="5" t="n"/>
      <c r="G67" s="5" t="n"/>
      <c r="H67" s="5" t="n"/>
      <c r="I67" s="5" t="n"/>
      <c r="J67" s="8" t="n"/>
    </row>
    <row r="68">
      <c r="B68" s="5" t="n">
        <v>4</v>
      </c>
      <c r="C68" s="5" t="n"/>
      <c r="D68" s="5" t="n"/>
      <c r="E68" s="8" t="n"/>
      <c r="F68" s="5" t="n"/>
      <c r="G68" s="5" t="n"/>
      <c r="H68" s="5" t="n"/>
      <c r="I68" s="5" t="n"/>
      <c r="J68" s="8" t="n"/>
    </row>
    <row r="69">
      <c r="B69" s="5" t="n">
        <v>5</v>
      </c>
      <c r="C69" s="5" t="n"/>
      <c r="D69" s="5" t="n"/>
      <c r="E69" s="8" t="n"/>
      <c r="F69" s="5" t="n"/>
      <c r="G69" s="5" t="n"/>
      <c r="H69" s="5" t="n"/>
      <c r="I69" s="5" t="n"/>
      <c r="J69" s="8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0"/>
  <mergeCells count="1">
    <mergeCell ref="C7:H7"/>
  </mergeCells>
  <conditionalFormatting sqref="C10:C20">
    <cfRule type="cellIs" priority="1" operator="equal" dxfId="0" stopIfTrue="1">
      <formula>""</formula>
    </cfRule>
  </conditionalFormatting>
  <conditionalFormatting sqref="D10:D20">
    <cfRule type="expression" priority="2" dxfId="1" stopIfTrue="1">
      <formula>AND(C10&lt;&gt;"", D10="")</formula>
    </cfRule>
  </conditionalFormatting>
  <conditionalFormatting sqref="C22:C32">
    <cfRule type="cellIs" priority="3" operator="equal" dxfId="0" stopIfTrue="1">
      <formula>""</formula>
    </cfRule>
  </conditionalFormatting>
  <conditionalFormatting sqref="C34:C44">
    <cfRule type="cellIs" priority="4" operator="equal" dxfId="0" stopIfTrue="1">
      <formula>""</formula>
    </cfRule>
  </conditionalFormatting>
  <conditionalFormatting sqref="C46:C56">
    <cfRule type="cellIs" priority="5" operator="equal" dxfId="1" stopIfTrue="1">
      <formula>""</formula>
    </cfRule>
  </conditionalFormatting>
  <conditionalFormatting sqref="C58:C63">
    <cfRule type="cellIs" priority="6" operator="equal" dxfId="1" stopIfTrue="1">
      <formula>""</formula>
    </cfRule>
  </conditionalFormatting>
  <pageMargins left="0.5" right="0.5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2" max="2"/>
    <col width="25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B1" s="2" t="inlineStr">
        <is>
          <t>University:</t>
        </is>
      </c>
      <c r="C1" t="inlineStr">
        <is>
          <t>Ajeenkya DY Patil University</t>
        </is>
      </c>
    </row>
    <row r="2">
      <c r="B2" s="2" t="inlineStr">
        <is>
          <t>Team Name:</t>
        </is>
      </c>
      <c r="C2" t="inlineStr">
        <is>
          <t>Javitron</t>
        </is>
      </c>
    </row>
    <row r="3">
      <c r="B3" s="2" t="inlineStr">
        <is>
          <t>System:</t>
        </is>
      </c>
      <c r="C3" t="inlineStr">
        <is>
          <t>Frame &amp; Body</t>
        </is>
      </c>
    </row>
    <row r="4">
      <c r="B4" s="2" t="inlineStr">
        <is>
          <t>Assembly:</t>
        </is>
      </c>
    </row>
    <row r="5">
      <c r="B5" s="2" t="inlineStr">
        <is>
          <t>P/N Base:</t>
        </is>
      </c>
      <c r="C5" t="inlineStr">
        <is>
          <t>FR-XX-001</t>
        </is>
      </c>
    </row>
    <row r="6">
      <c r="B6" s="2" t="inlineStr">
        <is>
          <t>Suffix:</t>
        </is>
      </c>
    </row>
    <row r="7">
      <c r="B7" s="2" t="inlineStr">
        <is>
          <t>Details:</t>
        </is>
      </c>
    </row>
    <row r="8"/>
    <row r="9" ht="20" customHeight="1">
      <c r="B9" s="2" t="inlineStr">
        <is>
          <t>Car #:</t>
        </is>
      </c>
      <c r="D9" s="2" t="inlineStr">
        <is>
          <t>Asm Cost:</t>
        </is>
      </c>
      <c r="E9" s="9">
        <f>0</f>
        <v/>
      </c>
      <c r="F9" s="2" t="inlineStr">
        <is>
          <t>Qty:</t>
        </is>
      </c>
      <c r="G9" t="inlineStr">
        <is>
          <t>1</t>
        </is>
      </c>
      <c r="H9" s="2" t="inlineStr">
        <is>
          <t>Extended Cost:</t>
        </is>
      </c>
      <c r="I9" s="9">
        <f>E*G</f>
        <v/>
      </c>
    </row>
    <row r="10">
      <c r="F10" s="9">
        <f>D10*E10</f>
        <v/>
      </c>
    </row>
    <row r="11">
      <c r="B11" s="10" t="inlineStr">
        <is>
          <t>Parts</t>
        </is>
      </c>
      <c r="F11" s="9">
        <f>D11*E11</f>
        <v/>
      </c>
    </row>
    <row r="12">
      <c r="B12" s="4" t="inlineStr">
        <is>
          <t>ItemOrder</t>
        </is>
      </c>
      <c r="C12" s="4" t="inlineStr">
        <is>
          <t>Part</t>
        </is>
      </c>
      <c r="D12" s="4" t="inlineStr">
        <is>
          <t>Part Cost</t>
        </is>
      </c>
      <c r="E12" s="4" t="inlineStr">
        <is>
          <t>Quantity</t>
        </is>
      </c>
      <c r="F12" s="14">
        <f>D12*E12</f>
        <v/>
      </c>
    </row>
    <row r="13">
      <c r="B13" s="5" t="n">
        <v>1</v>
      </c>
      <c r="C13" s="5" t="n"/>
      <c r="D13" s="5" t="n"/>
      <c r="E13" s="8" t="n"/>
      <c r="F13" s="8">
        <f>D13*E13</f>
        <v/>
      </c>
    </row>
    <row r="14">
      <c r="B14" s="5" t="n">
        <v>2</v>
      </c>
      <c r="C14" s="5" t="n"/>
      <c r="D14" s="5" t="n"/>
      <c r="E14" s="8" t="n"/>
      <c r="F14" s="8">
        <f>D14*E14</f>
        <v/>
      </c>
    </row>
    <row r="15">
      <c r="B15" s="5" t="n">
        <v>3</v>
      </c>
      <c r="C15" s="5" t="n"/>
      <c r="D15" s="5" t="n"/>
      <c r="E15" s="8" t="n"/>
      <c r="F15" s="8">
        <f>D15*E15</f>
        <v/>
      </c>
    </row>
    <row r="16">
      <c r="B16" s="5" t="n">
        <v>4</v>
      </c>
      <c r="C16" s="5" t="n"/>
      <c r="D16" s="5" t="n"/>
      <c r="E16" s="8" t="n"/>
      <c r="F16" s="8">
        <f>D16*E16</f>
        <v/>
      </c>
    </row>
    <row r="17">
      <c r="B17" s="5" t="n">
        <v>5</v>
      </c>
      <c r="C17" s="5" t="n"/>
      <c r="D17" s="5" t="n"/>
      <c r="E17" s="8" t="n"/>
      <c r="F17" s="8">
        <f>D17*E17</f>
        <v/>
      </c>
    </row>
    <row r="18">
      <c r="B18" s="5" t="n">
        <v>6</v>
      </c>
      <c r="C18" s="5" t="n"/>
      <c r="D18" s="5" t="n"/>
      <c r="E18" s="8" t="n"/>
      <c r="F18" s="8">
        <f>D18*E18</f>
        <v/>
      </c>
    </row>
    <row r="19">
      <c r="B19" s="5" t="n">
        <v>7</v>
      </c>
      <c r="C19" s="5" t="n"/>
      <c r="D19" s="5" t="n"/>
      <c r="E19" s="8" t="n"/>
      <c r="F19" s="8">
        <f>D19*E19</f>
        <v/>
      </c>
    </row>
    <row r="20">
      <c r="B20" s="5" t="n">
        <v>8</v>
      </c>
      <c r="C20" s="5" t="n"/>
      <c r="D20" s="5" t="n"/>
      <c r="E20" s="8" t="n"/>
      <c r="F20" s="8" t="n"/>
    </row>
    <row r="21" ht="20" customHeight="1">
      <c r="B21" s="5" t="n">
        <v>9</v>
      </c>
      <c r="C21" s="5" t="n"/>
      <c r="D21" s="5" t="n"/>
      <c r="E21" s="8" t="n"/>
      <c r="F21" s="8" t="n"/>
    </row>
    <row r="22">
      <c r="B22" s="5" t="n">
        <v>10</v>
      </c>
      <c r="C22" s="5" t="n"/>
      <c r="D22" s="5" t="n"/>
      <c r="E22" s="8" t="n"/>
      <c r="F22" s="8" t="n"/>
      <c r="O22" s="9">
        <f>D22*M22</f>
        <v/>
      </c>
    </row>
    <row r="23">
      <c r="O23" s="9">
        <f>D23*M23</f>
        <v/>
      </c>
    </row>
    <row r="24">
      <c r="B24" s="10" t="inlineStr">
        <is>
          <t>Materials</t>
        </is>
      </c>
      <c r="O24" s="9">
        <f>D24*M24</f>
        <v/>
      </c>
    </row>
    <row r="25">
      <c r="B25" s="11" t="inlineStr">
        <is>
          <t>ItemOrder</t>
        </is>
      </c>
      <c r="C25" s="11" t="inlineStr">
        <is>
          <t>Material</t>
        </is>
      </c>
      <c r="D25" s="11" t="inlineStr">
        <is>
          <t>Use</t>
        </is>
      </c>
      <c r="E25" s="11" t="inlineStr">
        <is>
          <t>UnitCost</t>
        </is>
      </c>
      <c r="F25" s="11" t="inlineStr">
        <is>
          <t>Unit</t>
        </is>
      </c>
      <c r="G25" s="11" t="inlineStr">
        <is>
          <t>Size1</t>
        </is>
      </c>
      <c r="H25" s="11" t="inlineStr">
        <is>
          <t>Unit1</t>
        </is>
      </c>
      <c r="I25" s="11" t="inlineStr">
        <is>
          <t>Size2</t>
        </is>
      </c>
      <c r="J25" s="11" t="inlineStr">
        <is>
          <t>Unit2</t>
        </is>
      </c>
      <c r="K25" s="11" t="inlineStr">
        <is>
          <t>Area</t>
        </is>
      </c>
      <c r="L25" s="11" t="inlineStr">
        <is>
          <t>Length</t>
        </is>
      </c>
      <c r="M25" s="11" t="inlineStr">
        <is>
          <t>Density</t>
        </is>
      </c>
      <c r="N25" s="11" t="inlineStr">
        <is>
          <t>Quantity</t>
        </is>
      </c>
      <c r="O25" s="15">
        <f>D25*M25</f>
        <v/>
      </c>
    </row>
    <row r="26">
      <c r="B26" s="5" t="n">
        <v>1</v>
      </c>
      <c r="C26" s="5" t="n"/>
      <c r="D26" s="5" t="n"/>
      <c r="E26" s="8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8">
        <f>D26*M26</f>
        <v/>
      </c>
    </row>
    <row r="27">
      <c r="B27" s="5" t="n">
        <v>2</v>
      </c>
      <c r="C27" s="5" t="n"/>
      <c r="D27" s="5" t="n"/>
      <c r="E27" s="8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8">
        <f>D27*M27</f>
        <v/>
      </c>
    </row>
    <row r="28">
      <c r="B28" s="5" t="n">
        <v>3</v>
      </c>
      <c r="C28" s="5" t="n"/>
      <c r="D28" s="5" t="n"/>
      <c r="E28" s="8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8">
        <f>D28*M28</f>
        <v/>
      </c>
    </row>
    <row r="29">
      <c r="B29" s="5" t="n">
        <v>4</v>
      </c>
      <c r="C29" s="5" t="n"/>
      <c r="D29" s="5" t="n"/>
      <c r="E29" s="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8">
        <f>D29*M29</f>
        <v/>
      </c>
    </row>
    <row r="30">
      <c r="B30" s="5" t="n">
        <v>5</v>
      </c>
      <c r="C30" s="5" t="n"/>
      <c r="D30" s="5" t="n"/>
      <c r="E30" s="8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8">
        <f>D30*M30</f>
        <v/>
      </c>
    </row>
    <row r="31">
      <c r="B31" s="5" t="n">
        <v>6</v>
      </c>
      <c r="C31" s="5" t="n"/>
      <c r="D31" s="5" t="n"/>
      <c r="E31" s="8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8">
        <f>D31*M31</f>
        <v/>
      </c>
    </row>
    <row r="32">
      <c r="B32" s="5" t="n">
        <v>7</v>
      </c>
      <c r="C32" s="5" t="n"/>
      <c r="D32" s="5" t="n"/>
      <c r="E32" s="8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8" t="n"/>
    </row>
    <row r="33" ht="20" customHeight="1">
      <c r="B33" s="5" t="n">
        <v>8</v>
      </c>
      <c r="C33" s="5" t="n"/>
      <c r="D33" s="5" t="n"/>
      <c r="E33" s="8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8" t="n"/>
    </row>
    <row r="34">
      <c r="B34" s="5" t="n">
        <v>9</v>
      </c>
      <c r="C34" s="5" t="n"/>
      <c r="D34" s="5" t="n"/>
      <c r="E34" s="8" t="n"/>
      <c r="F34" s="5" t="n"/>
      <c r="G34" s="5" t="n"/>
      <c r="H34" s="5" t="n"/>
      <c r="I34" s="5" t="n"/>
      <c r="J34" s="8">
        <f>D34*F34*H34</f>
        <v/>
      </c>
      <c r="K34" s="5" t="n"/>
      <c r="L34" s="5" t="n"/>
      <c r="M34" s="5" t="n"/>
      <c r="N34" s="5" t="n"/>
      <c r="O34" s="8" t="n"/>
    </row>
    <row r="35">
      <c r="B35" s="5" t="n">
        <v>10</v>
      </c>
      <c r="C35" s="5" t="n"/>
      <c r="D35" s="5" t="n"/>
      <c r="E35" s="8" t="n"/>
      <c r="F35" s="5" t="n"/>
      <c r="G35" s="5" t="n"/>
      <c r="H35" s="5" t="n"/>
      <c r="I35" s="5" t="n"/>
      <c r="J35" s="8">
        <f>D35*F35*H35</f>
        <v/>
      </c>
      <c r="K35" s="5" t="n"/>
      <c r="L35" s="5" t="n"/>
      <c r="M35" s="5" t="n"/>
      <c r="N35" s="5" t="n"/>
      <c r="O35" s="8" t="n"/>
    </row>
    <row r="36">
      <c r="J36" s="9">
        <f>D36*F36*H36</f>
        <v/>
      </c>
    </row>
    <row r="37">
      <c r="B37" s="10" t="inlineStr">
        <is>
          <t>Processes</t>
        </is>
      </c>
      <c r="J37" s="9">
        <f>D37*F37*H37</f>
        <v/>
      </c>
    </row>
    <row r="38">
      <c r="B38" s="11" t="inlineStr">
        <is>
          <t>ItemOrder</t>
        </is>
      </c>
      <c r="C38" s="11" t="inlineStr">
        <is>
          <t>Process</t>
        </is>
      </c>
      <c r="D38" s="11" t="inlineStr">
        <is>
          <t>Use</t>
        </is>
      </c>
      <c r="E38" s="11" t="inlineStr">
        <is>
          <t>UnitCost</t>
        </is>
      </c>
      <c r="F38" s="11" t="inlineStr">
        <is>
          <t>Unit</t>
        </is>
      </c>
      <c r="G38" s="11" t="inlineStr">
        <is>
          <t>Quantity</t>
        </is>
      </c>
      <c r="H38" s="11" t="inlineStr">
        <is>
          <t>Multiplier</t>
        </is>
      </c>
      <c r="I38" s="11" t="inlineStr">
        <is>
          <t>Mult. Val.</t>
        </is>
      </c>
      <c r="J38" s="15">
        <f>D38*F38*H38</f>
        <v/>
      </c>
    </row>
    <row r="39">
      <c r="B39" s="5" t="n">
        <v>1</v>
      </c>
      <c r="C39" s="5" t="n"/>
      <c r="D39" s="5" t="n"/>
      <c r="E39" s="8" t="n"/>
      <c r="F39" s="5" t="n"/>
      <c r="G39" s="5" t="n"/>
      <c r="H39" s="5" t="n"/>
      <c r="I39" s="5" t="n"/>
      <c r="J39" s="8">
        <f>D39*F39*H39</f>
        <v/>
      </c>
    </row>
    <row r="40">
      <c r="B40" s="5" t="n">
        <v>2</v>
      </c>
      <c r="C40" s="5" t="n"/>
      <c r="D40" s="5" t="n"/>
      <c r="E40" s="8" t="n"/>
      <c r="F40" s="5" t="n"/>
      <c r="G40" s="5" t="n"/>
      <c r="H40" s="5" t="n"/>
      <c r="I40" s="5" t="n"/>
      <c r="J40" s="8">
        <f>D40*F40*H40</f>
        <v/>
      </c>
    </row>
    <row r="41">
      <c r="B41" s="5" t="n">
        <v>3</v>
      </c>
      <c r="C41" s="5" t="n"/>
      <c r="D41" s="5" t="n"/>
      <c r="E41" s="8" t="n"/>
      <c r="F41" s="5" t="n"/>
      <c r="G41" s="5" t="n"/>
      <c r="H41" s="5" t="n"/>
      <c r="I41" s="5" t="n"/>
      <c r="J41" s="8">
        <f>D41*F41*H41</f>
        <v/>
      </c>
    </row>
    <row r="42">
      <c r="B42" s="5" t="n">
        <v>4</v>
      </c>
      <c r="C42" s="5" t="n"/>
      <c r="D42" s="5" t="n"/>
      <c r="E42" s="8" t="n"/>
      <c r="F42" s="5" t="n"/>
      <c r="G42" s="5" t="n"/>
      <c r="H42" s="5" t="n"/>
      <c r="I42" s="5" t="n"/>
      <c r="J42" s="8">
        <f>D42*F42*H42</f>
        <v/>
      </c>
    </row>
    <row r="43">
      <c r="B43" s="5" t="n">
        <v>5</v>
      </c>
      <c r="C43" s="5" t="n"/>
      <c r="D43" s="5" t="n"/>
      <c r="E43" s="8" t="n"/>
      <c r="F43" s="5" t="n"/>
      <c r="G43" s="5" t="n"/>
      <c r="H43" s="5" t="n"/>
      <c r="I43" s="5" t="n"/>
      <c r="J43" s="8">
        <f>D43*F43*H43</f>
        <v/>
      </c>
    </row>
    <row r="44">
      <c r="B44" s="5" t="n">
        <v>6</v>
      </c>
      <c r="C44" s="5" t="n"/>
      <c r="D44" s="5" t="n"/>
      <c r="E44" s="8" t="n"/>
      <c r="F44" s="5" t="n"/>
      <c r="G44" s="5" t="n"/>
      <c r="H44" s="5" t="n"/>
      <c r="I44" s="5" t="n"/>
      <c r="J44" s="8" t="n"/>
    </row>
    <row r="45" ht="20" customHeight="1">
      <c r="B45" s="5" t="n">
        <v>7</v>
      </c>
      <c r="C45" s="5" t="n"/>
      <c r="D45" s="5" t="n"/>
      <c r="E45" s="8" t="n"/>
      <c r="F45" s="5" t="n"/>
      <c r="G45" s="5" t="n"/>
      <c r="H45" s="5" t="n"/>
      <c r="I45" s="5" t="n"/>
      <c r="J45" s="8" t="n"/>
    </row>
    <row r="46">
      <c r="B46" s="5" t="n">
        <v>8</v>
      </c>
      <c r="C46" s="5" t="n"/>
      <c r="D46" s="5" t="n"/>
      <c r="E46" s="8" t="n"/>
      <c r="F46" s="5" t="n"/>
      <c r="G46" s="5" t="n"/>
      <c r="H46" s="5" t="n"/>
      <c r="I46" s="5" t="n"/>
      <c r="J46" s="8" t="n"/>
      <c r="K46" s="9">
        <f>D46*I46</f>
        <v/>
      </c>
    </row>
    <row r="47">
      <c r="B47" s="5" t="n">
        <v>9</v>
      </c>
      <c r="C47" s="5" t="n"/>
      <c r="D47" s="5" t="n"/>
      <c r="E47" s="8" t="n"/>
      <c r="F47" s="5" t="n"/>
      <c r="G47" s="5" t="n"/>
      <c r="H47" s="5" t="n"/>
      <c r="I47" s="5" t="n"/>
      <c r="J47" s="8" t="n"/>
      <c r="K47" s="9">
        <f>D47*I47</f>
        <v/>
      </c>
    </row>
    <row r="48">
      <c r="B48" s="5" t="n">
        <v>10</v>
      </c>
      <c r="C48" s="5" t="n"/>
      <c r="D48" s="5" t="n"/>
      <c r="E48" s="8" t="n"/>
      <c r="F48" s="5" t="n"/>
      <c r="G48" s="5" t="n"/>
      <c r="H48" s="5" t="n"/>
      <c r="I48" s="5" t="n"/>
      <c r="J48" s="8" t="n"/>
      <c r="K48" s="9">
        <f>D48*I48</f>
        <v/>
      </c>
    </row>
    <row r="49">
      <c r="K49" s="9">
        <f>D49*I49</f>
        <v/>
      </c>
    </row>
    <row r="50">
      <c r="B50" s="10" t="inlineStr">
        <is>
          <t>Fasteners</t>
        </is>
      </c>
      <c r="K50" s="9">
        <f>D50*I50</f>
        <v/>
      </c>
    </row>
    <row r="51">
      <c r="B51" s="11" t="inlineStr">
        <is>
          <t>ItemOrder</t>
        </is>
      </c>
      <c r="C51" s="11" t="inlineStr">
        <is>
          <t>Fastener</t>
        </is>
      </c>
      <c r="D51" s="11" t="inlineStr">
        <is>
          <t>Use</t>
        </is>
      </c>
      <c r="E51" s="11" t="inlineStr">
        <is>
          <t>UnitCost</t>
        </is>
      </c>
      <c r="F51" s="11" t="inlineStr">
        <is>
          <t>Size1</t>
        </is>
      </c>
      <c r="G51" s="11" t="inlineStr">
        <is>
          <t>Unit1</t>
        </is>
      </c>
      <c r="H51" s="11" t="inlineStr">
        <is>
          <t>Size2</t>
        </is>
      </c>
      <c r="I51" s="11" t="inlineStr">
        <is>
          <t>Unit2</t>
        </is>
      </c>
      <c r="J51" s="11" t="inlineStr">
        <is>
          <t>Quantity</t>
        </is>
      </c>
      <c r="K51" s="15">
        <f>D51*I51</f>
        <v/>
      </c>
    </row>
    <row r="52">
      <c r="B52" s="5" t="n">
        <v>1</v>
      </c>
      <c r="C52" s="5" t="n"/>
      <c r="D52" s="5" t="n"/>
      <c r="E52" s="8" t="n"/>
      <c r="F52" s="5" t="n"/>
      <c r="G52" s="5" t="n"/>
      <c r="H52" s="5" t="n"/>
      <c r="I52" s="5" t="n"/>
      <c r="J52" s="5" t="n"/>
      <c r="K52" s="8">
        <f>D52*I52</f>
        <v/>
      </c>
    </row>
    <row r="53">
      <c r="B53" s="5" t="n">
        <v>2</v>
      </c>
      <c r="C53" s="5" t="n"/>
      <c r="D53" s="5" t="n"/>
      <c r="E53" s="8" t="n"/>
      <c r="F53" s="5" t="n"/>
      <c r="G53" s="5" t="n"/>
      <c r="H53" s="5" t="n"/>
      <c r="I53" s="5" t="n"/>
      <c r="J53" s="5" t="n"/>
      <c r="K53" s="8">
        <f>D53*I53</f>
        <v/>
      </c>
    </row>
    <row r="54">
      <c r="B54" s="5" t="n">
        <v>3</v>
      </c>
      <c r="C54" s="5" t="n"/>
      <c r="D54" s="5" t="n"/>
      <c r="E54" s="8" t="n"/>
      <c r="F54" s="5" t="n"/>
      <c r="G54" s="5" t="n"/>
      <c r="H54" s="5" t="n"/>
      <c r="I54" s="5" t="n"/>
      <c r="J54" s="5" t="n"/>
      <c r="K54" s="8">
        <f>D54*I54</f>
        <v/>
      </c>
    </row>
    <row r="55">
      <c r="B55" s="5" t="n">
        <v>4</v>
      </c>
      <c r="C55" s="5" t="n"/>
      <c r="D55" s="5" t="n"/>
      <c r="E55" s="8" t="n"/>
      <c r="F55" s="5" t="n"/>
      <c r="G55" s="5" t="n"/>
      <c r="H55" s="5" t="n"/>
      <c r="I55" s="5" t="n"/>
      <c r="J55" s="5" t="n"/>
      <c r="K55" s="8">
        <f>D55*I55</f>
        <v/>
      </c>
    </row>
    <row r="56">
      <c r="B56" s="5" t="n">
        <v>5</v>
      </c>
      <c r="C56" s="5" t="n"/>
      <c r="D56" s="5" t="n"/>
      <c r="E56" s="8" t="n"/>
      <c r="F56" s="5" t="n"/>
      <c r="G56" s="5" t="n"/>
      <c r="H56" s="5" t="n"/>
      <c r="I56" s="5" t="n"/>
      <c r="J56" s="5" t="n"/>
      <c r="K56" s="8" t="n"/>
    </row>
    <row r="57" ht="20" customHeight="1">
      <c r="B57" s="5" t="n">
        <v>6</v>
      </c>
      <c r="C57" s="5" t="n"/>
      <c r="D57" s="5" t="n"/>
      <c r="E57" s="8" t="n"/>
      <c r="F57" s="5" t="n"/>
      <c r="G57" s="5" t="n"/>
      <c r="H57" s="5" t="n"/>
      <c r="I57" s="5" t="n"/>
      <c r="J57" s="5" t="n"/>
      <c r="K57" s="8" t="n"/>
    </row>
    <row r="58">
      <c r="B58" s="5" t="n">
        <v>7</v>
      </c>
      <c r="C58" s="5" t="n"/>
      <c r="D58" s="5" t="n"/>
      <c r="E58" s="8" t="n"/>
      <c r="F58" s="5" t="n"/>
      <c r="G58" s="5" t="n"/>
      <c r="H58" s="5" t="n"/>
      <c r="I58" s="5" t="n"/>
      <c r="J58" s="8">
        <f>D58*F58*G58*H58</f>
        <v/>
      </c>
      <c r="K58" s="8" t="n"/>
    </row>
    <row r="59">
      <c r="B59" s="5" t="n">
        <v>8</v>
      </c>
      <c r="C59" s="5" t="n"/>
      <c r="D59" s="5" t="n"/>
      <c r="E59" s="8" t="n"/>
      <c r="F59" s="5" t="n"/>
      <c r="G59" s="5" t="n"/>
      <c r="H59" s="5" t="n"/>
      <c r="I59" s="5" t="n"/>
      <c r="J59" s="8">
        <f>D59*F59*G59*H59</f>
        <v/>
      </c>
      <c r="K59" s="8" t="n"/>
    </row>
    <row r="60">
      <c r="B60" s="5" t="n">
        <v>9</v>
      </c>
      <c r="C60" s="5" t="n"/>
      <c r="D60" s="5" t="n"/>
      <c r="E60" s="8" t="n"/>
      <c r="F60" s="5" t="n"/>
      <c r="G60" s="5" t="n"/>
      <c r="H60" s="5" t="n"/>
      <c r="I60" s="5" t="n"/>
      <c r="J60" s="8">
        <f>D60*F60*G60*H60</f>
        <v/>
      </c>
      <c r="K60" s="8" t="n"/>
    </row>
    <row r="61">
      <c r="B61" s="5" t="n">
        <v>10</v>
      </c>
      <c r="C61" s="5" t="n"/>
      <c r="D61" s="5" t="n"/>
      <c r="E61" s="8" t="n"/>
      <c r="F61" s="5" t="n"/>
      <c r="G61" s="5" t="n"/>
      <c r="H61" s="5" t="n"/>
      <c r="I61" s="5" t="n"/>
      <c r="J61" s="8">
        <f>D61*F61*G61*H61</f>
        <v/>
      </c>
      <c r="K61" s="8" t="n"/>
    </row>
    <row r="62">
      <c r="J62" s="9">
        <f>D62*F62*G62*H62</f>
        <v/>
      </c>
    </row>
    <row r="63">
      <c r="B63" s="10" t="inlineStr">
        <is>
          <t>Tooling</t>
        </is>
      </c>
    </row>
    <row r="64">
      <c r="B64" s="11" t="inlineStr">
        <is>
          <t>ItemOrder</t>
        </is>
      </c>
      <c r="C64" s="11" t="inlineStr">
        <is>
          <t>Tooling</t>
        </is>
      </c>
      <c r="D64" s="11" t="inlineStr">
        <is>
          <t>Use</t>
        </is>
      </c>
      <c r="E64" s="11" t="inlineStr">
        <is>
          <t>UnitCost</t>
        </is>
      </c>
      <c r="F64" s="11" t="inlineStr">
        <is>
          <t>Unit</t>
        </is>
      </c>
      <c r="G64" s="11" t="inlineStr">
        <is>
          <t>Quantity</t>
        </is>
      </c>
      <c r="H64" s="11" t="inlineStr">
        <is>
          <t>PVF</t>
        </is>
      </c>
      <c r="I64" s="11" t="inlineStr">
        <is>
          <t>FractionIncluded</t>
        </is>
      </c>
      <c r="J64" s="11" t="inlineStr">
        <is>
          <t>Sub Total</t>
        </is>
      </c>
    </row>
    <row r="65">
      <c r="B65" s="5" t="n">
        <v>1</v>
      </c>
      <c r="C65" s="5" t="n"/>
      <c r="D65" s="5" t="n"/>
      <c r="E65" s="8" t="n"/>
      <c r="F65" s="5" t="n"/>
      <c r="G65" s="5" t="n"/>
      <c r="H65" s="5" t="n"/>
      <c r="I65" s="5" t="n"/>
      <c r="J65" s="8" t="n"/>
    </row>
    <row r="66">
      <c r="B66" s="5" t="n">
        <v>2</v>
      </c>
      <c r="C66" s="5" t="n"/>
      <c r="D66" s="5" t="n"/>
      <c r="E66" s="8" t="n"/>
      <c r="F66" s="5" t="n"/>
      <c r="G66" s="5" t="n"/>
      <c r="H66" s="5" t="n"/>
      <c r="I66" s="5" t="n"/>
      <c r="J66" s="8" t="n"/>
    </row>
    <row r="67">
      <c r="B67" s="5" t="n">
        <v>3</v>
      </c>
      <c r="C67" s="5" t="n"/>
      <c r="D67" s="5" t="n"/>
      <c r="E67" s="8" t="n"/>
      <c r="F67" s="5" t="n"/>
      <c r="G67" s="5" t="n"/>
      <c r="H67" s="5" t="n"/>
      <c r="I67" s="5" t="n"/>
      <c r="J67" s="8" t="n"/>
    </row>
    <row r="68">
      <c r="B68" s="5" t="n">
        <v>4</v>
      </c>
      <c r="C68" s="5" t="n"/>
      <c r="D68" s="5" t="n"/>
      <c r="E68" s="8" t="n"/>
      <c r="F68" s="5" t="n"/>
      <c r="G68" s="5" t="n"/>
      <c r="H68" s="5" t="n"/>
      <c r="I68" s="5" t="n"/>
      <c r="J68" s="8" t="n"/>
    </row>
    <row r="69">
      <c r="B69" s="5" t="n">
        <v>5</v>
      </c>
      <c r="C69" s="5" t="n"/>
      <c r="D69" s="5" t="n"/>
      <c r="E69" s="8" t="n"/>
      <c r="F69" s="5" t="n"/>
      <c r="G69" s="5" t="n"/>
      <c r="H69" s="5" t="n"/>
      <c r="I69" s="5" t="n"/>
      <c r="J69" s="8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0"/>
  <mergeCells count="1">
    <mergeCell ref="C7:H7"/>
  </mergeCells>
  <conditionalFormatting sqref="C10:C20">
    <cfRule type="cellIs" priority="1" operator="equal" dxfId="0" stopIfTrue="1">
      <formula>""</formula>
    </cfRule>
  </conditionalFormatting>
  <conditionalFormatting sqref="D10:D20">
    <cfRule type="expression" priority="2" dxfId="1" stopIfTrue="1">
      <formula>AND(C10&lt;&gt;"", D10="")</formula>
    </cfRule>
  </conditionalFormatting>
  <conditionalFormatting sqref="C22:C32">
    <cfRule type="cellIs" priority="3" operator="equal" dxfId="0" stopIfTrue="1">
      <formula>""</formula>
    </cfRule>
  </conditionalFormatting>
  <conditionalFormatting sqref="C34:C44">
    <cfRule type="cellIs" priority="4" operator="equal" dxfId="0" stopIfTrue="1">
      <formula>""</formula>
    </cfRule>
  </conditionalFormatting>
  <conditionalFormatting sqref="C46:C56">
    <cfRule type="cellIs" priority="5" operator="equal" dxfId="1" stopIfTrue="1">
      <formula>""</formula>
    </cfRule>
  </conditionalFormatting>
  <conditionalFormatting sqref="C58:C63">
    <cfRule type="cellIs" priority="6" operator="equal" dxfId="1" stopIfTrue="1">
      <formula>""</formula>
    </cfRule>
  </conditionalFormatting>
  <pageMargins left="0.5" right="0.5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2" max="2"/>
    <col width="25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B1" s="2" t="inlineStr">
        <is>
          <t>University:</t>
        </is>
      </c>
      <c r="C1" t="inlineStr">
        <is>
          <t>Ajeenkya DY Patil University</t>
        </is>
      </c>
    </row>
    <row r="2">
      <c r="B2" s="2" t="inlineStr">
        <is>
          <t>Team Name:</t>
        </is>
      </c>
      <c r="C2" t="inlineStr">
        <is>
          <t>Javitron</t>
        </is>
      </c>
    </row>
    <row r="3">
      <c r="B3" s="2" t="inlineStr">
        <is>
          <t>System:</t>
        </is>
      </c>
      <c r="C3" t="inlineStr">
        <is>
          <t>Electrical</t>
        </is>
      </c>
    </row>
    <row r="4">
      <c r="B4" s="2" t="inlineStr">
        <is>
          <t>Assembly:</t>
        </is>
      </c>
    </row>
    <row r="5">
      <c r="B5" s="2" t="inlineStr">
        <is>
          <t>P/N Base:</t>
        </is>
      </c>
      <c r="C5" t="inlineStr">
        <is>
          <t>EL-XX-001</t>
        </is>
      </c>
    </row>
    <row r="6">
      <c r="B6" s="2" t="inlineStr">
        <is>
          <t>Suffix:</t>
        </is>
      </c>
    </row>
    <row r="7">
      <c r="B7" s="2" t="inlineStr">
        <is>
          <t>Details:</t>
        </is>
      </c>
    </row>
    <row r="8"/>
    <row r="9" ht="20" customHeight="1">
      <c r="B9" s="2" t="inlineStr">
        <is>
          <t>Car #:</t>
        </is>
      </c>
      <c r="D9" s="2" t="inlineStr">
        <is>
          <t>Asm Cost:</t>
        </is>
      </c>
      <c r="E9" s="9">
        <f>0</f>
        <v/>
      </c>
      <c r="F9" s="2" t="inlineStr">
        <is>
          <t>Qty:</t>
        </is>
      </c>
      <c r="G9" t="inlineStr">
        <is>
          <t>1</t>
        </is>
      </c>
      <c r="H9" s="2" t="inlineStr">
        <is>
          <t>Extended Cost:</t>
        </is>
      </c>
      <c r="I9" s="9">
        <f>E*G</f>
        <v/>
      </c>
    </row>
    <row r="10">
      <c r="F10" s="9">
        <f>D10*E10</f>
        <v/>
      </c>
    </row>
    <row r="11">
      <c r="B11" s="10" t="inlineStr">
        <is>
          <t>Parts</t>
        </is>
      </c>
      <c r="F11" s="9">
        <f>D11*E11</f>
        <v/>
      </c>
    </row>
    <row r="12">
      <c r="B12" s="4" t="inlineStr">
        <is>
          <t>ItemOrder</t>
        </is>
      </c>
      <c r="C12" s="4" t="inlineStr">
        <is>
          <t>Part</t>
        </is>
      </c>
      <c r="D12" s="4" t="inlineStr">
        <is>
          <t>Part Cost</t>
        </is>
      </c>
      <c r="E12" s="4" t="inlineStr">
        <is>
          <t>Quantity</t>
        </is>
      </c>
      <c r="F12" s="14">
        <f>D12*E12</f>
        <v/>
      </c>
    </row>
    <row r="13">
      <c r="B13" s="5" t="n">
        <v>1</v>
      </c>
      <c r="C13" s="5" t="n"/>
      <c r="D13" s="5" t="n"/>
      <c r="E13" s="8" t="n"/>
      <c r="F13" s="8">
        <f>D13*E13</f>
        <v/>
      </c>
    </row>
    <row r="14">
      <c r="B14" s="5" t="n">
        <v>2</v>
      </c>
      <c r="C14" s="5" t="n"/>
      <c r="D14" s="5" t="n"/>
      <c r="E14" s="8" t="n"/>
      <c r="F14" s="8">
        <f>D14*E14</f>
        <v/>
      </c>
    </row>
    <row r="15">
      <c r="B15" s="5" t="n">
        <v>3</v>
      </c>
      <c r="C15" s="5" t="n"/>
      <c r="D15" s="5" t="n"/>
      <c r="E15" s="8" t="n"/>
      <c r="F15" s="8">
        <f>D15*E15</f>
        <v/>
      </c>
    </row>
    <row r="16">
      <c r="B16" s="5" t="n">
        <v>4</v>
      </c>
      <c r="C16" s="5" t="n"/>
      <c r="D16" s="5" t="n"/>
      <c r="E16" s="8" t="n"/>
      <c r="F16" s="8">
        <f>D16*E16</f>
        <v/>
      </c>
    </row>
    <row r="17">
      <c r="B17" s="5" t="n">
        <v>5</v>
      </c>
      <c r="C17" s="5" t="n"/>
      <c r="D17" s="5" t="n"/>
      <c r="E17" s="8" t="n"/>
      <c r="F17" s="8">
        <f>D17*E17</f>
        <v/>
      </c>
    </row>
    <row r="18">
      <c r="B18" s="5" t="n">
        <v>6</v>
      </c>
      <c r="C18" s="5" t="n"/>
      <c r="D18" s="5" t="n"/>
      <c r="E18" s="8" t="n"/>
      <c r="F18" s="8">
        <f>D18*E18</f>
        <v/>
      </c>
    </row>
    <row r="19">
      <c r="B19" s="5" t="n">
        <v>7</v>
      </c>
      <c r="C19" s="5" t="n"/>
      <c r="D19" s="5" t="n"/>
      <c r="E19" s="8" t="n"/>
      <c r="F19" s="8">
        <f>D19*E19</f>
        <v/>
      </c>
    </row>
    <row r="20">
      <c r="B20" s="5" t="n">
        <v>8</v>
      </c>
      <c r="C20" s="5" t="n"/>
      <c r="D20" s="5" t="n"/>
      <c r="E20" s="8" t="n"/>
      <c r="F20" s="8" t="n"/>
    </row>
    <row r="21" ht="20" customHeight="1">
      <c r="B21" s="5" t="n">
        <v>9</v>
      </c>
      <c r="C21" s="5" t="n"/>
      <c r="D21" s="5" t="n"/>
      <c r="E21" s="8" t="n"/>
      <c r="F21" s="8" t="n"/>
    </row>
    <row r="22">
      <c r="B22" s="5" t="n">
        <v>10</v>
      </c>
      <c r="C22" s="5" t="n"/>
      <c r="D22" s="5" t="n"/>
      <c r="E22" s="8" t="n"/>
      <c r="F22" s="8" t="n"/>
      <c r="O22" s="9">
        <f>D22*M22</f>
        <v/>
      </c>
    </row>
    <row r="23">
      <c r="O23" s="9">
        <f>D23*M23</f>
        <v/>
      </c>
    </row>
    <row r="24">
      <c r="B24" s="10" t="inlineStr">
        <is>
          <t>Materials</t>
        </is>
      </c>
      <c r="O24" s="9">
        <f>D24*M24</f>
        <v/>
      </c>
    </row>
    <row r="25">
      <c r="B25" s="11" t="inlineStr">
        <is>
          <t>ItemOrder</t>
        </is>
      </c>
      <c r="C25" s="11" t="inlineStr">
        <is>
          <t>Material</t>
        </is>
      </c>
      <c r="D25" s="11" t="inlineStr">
        <is>
          <t>Use</t>
        </is>
      </c>
      <c r="E25" s="11" t="inlineStr">
        <is>
          <t>UnitCost</t>
        </is>
      </c>
      <c r="F25" s="11" t="inlineStr">
        <is>
          <t>Unit</t>
        </is>
      </c>
      <c r="G25" s="11" t="inlineStr">
        <is>
          <t>Size1</t>
        </is>
      </c>
      <c r="H25" s="11" t="inlineStr">
        <is>
          <t>Unit1</t>
        </is>
      </c>
      <c r="I25" s="11" t="inlineStr">
        <is>
          <t>Size2</t>
        </is>
      </c>
      <c r="J25" s="11" t="inlineStr">
        <is>
          <t>Unit2</t>
        </is>
      </c>
      <c r="K25" s="11" t="inlineStr">
        <is>
          <t>Area</t>
        </is>
      </c>
      <c r="L25" s="11" t="inlineStr">
        <is>
          <t>Length</t>
        </is>
      </c>
      <c r="M25" s="11" t="inlineStr">
        <is>
          <t>Density</t>
        </is>
      </c>
      <c r="N25" s="11" t="inlineStr">
        <is>
          <t>Quantity</t>
        </is>
      </c>
      <c r="O25" s="15">
        <f>D25*M25</f>
        <v/>
      </c>
    </row>
    <row r="26">
      <c r="B26" s="5" t="n">
        <v>1</v>
      </c>
      <c r="C26" s="5" t="n"/>
      <c r="D26" s="5" t="n"/>
      <c r="E26" s="8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8">
        <f>D26*M26</f>
        <v/>
      </c>
    </row>
    <row r="27">
      <c r="B27" s="5" t="n">
        <v>2</v>
      </c>
      <c r="C27" s="5" t="n"/>
      <c r="D27" s="5" t="n"/>
      <c r="E27" s="8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8">
        <f>D27*M27</f>
        <v/>
      </c>
    </row>
    <row r="28">
      <c r="B28" s="5" t="n">
        <v>3</v>
      </c>
      <c r="C28" s="5" t="n"/>
      <c r="D28" s="5" t="n"/>
      <c r="E28" s="8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8">
        <f>D28*M28</f>
        <v/>
      </c>
    </row>
    <row r="29">
      <c r="B29" s="5" t="n">
        <v>4</v>
      </c>
      <c r="C29" s="5" t="n"/>
      <c r="D29" s="5" t="n"/>
      <c r="E29" s="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8">
        <f>D29*M29</f>
        <v/>
      </c>
    </row>
    <row r="30">
      <c r="B30" s="5" t="n">
        <v>5</v>
      </c>
      <c r="C30" s="5" t="n"/>
      <c r="D30" s="5" t="n"/>
      <c r="E30" s="8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8">
        <f>D30*M30</f>
        <v/>
      </c>
    </row>
    <row r="31">
      <c r="B31" s="5" t="n">
        <v>6</v>
      </c>
      <c r="C31" s="5" t="n"/>
      <c r="D31" s="5" t="n"/>
      <c r="E31" s="8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8">
        <f>D31*M31</f>
        <v/>
      </c>
    </row>
    <row r="32">
      <c r="B32" s="5" t="n">
        <v>7</v>
      </c>
      <c r="C32" s="5" t="n"/>
      <c r="D32" s="5" t="n"/>
      <c r="E32" s="8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8" t="n"/>
    </row>
    <row r="33" ht="20" customHeight="1">
      <c r="B33" s="5" t="n">
        <v>8</v>
      </c>
      <c r="C33" s="5" t="n"/>
      <c r="D33" s="5" t="n"/>
      <c r="E33" s="8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8" t="n"/>
    </row>
    <row r="34">
      <c r="B34" s="5" t="n">
        <v>9</v>
      </c>
      <c r="C34" s="5" t="n"/>
      <c r="D34" s="5" t="n"/>
      <c r="E34" s="8" t="n"/>
      <c r="F34" s="5" t="n"/>
      <c r="G34" s="5" t="n"/>
      <c r="H34" s="5" t="n"/>
      <c r="I34" s="5" t="n"/>
      <c r="J34" s="8">
        <f>D34*F34*H34</f>
        <v/>
      </c>
      <c r="K34" s="5" t="n"/>
      <c r="L34" s="5" t="n"/>
      <c r="M34" s="5" t="n"/>
      <c r="N34" s="5" t="n"/>
      <c r="O34" s="8" t="n"/>
    </row>
    <row r="35">
      <c r="B35" s="5" t="n">
        <v>10</v>
      </c>
      <c r="C35" s="5" t="n"/>
      <c r="D35" s="5" t="n"/>
      <c r="E35" s="8" t="n"/>
      <c r="F35" s="5" t="n"/>
      <c r="G35" s="5" t="n"/>
      <c r="H35" s="5" t="n"/>
      <c r="I35" s="5" t="n"/>
      <c r="J35" s="8">
        <f>D35*F35*H35</f>
        <v/>
      </c>
      <c r="K35" s="5" t="n"/>
      <c r="L35" s="5" t="n"/>
      <c r="M35" s="5" t="n"/>
      <c r="N35" s="5" t="n"/>
      <c r="O35" s="8" t="n"/>
    </row>
    <row r="36">
      <c r="J36" s="9">
        <f>D36*F36*H36</f>
        <v/>
      </c>
    </row>
    <row r="37">
      <c r="B37" s="10" t="inlineStr">
        <is>
          <t>Processes</t>
        </is>
      </c>
      <c r="J37" s="9">
        <f>D37*F37*H37</f>
        <v/>
      </c>
    </row>
    <row r="38">
      <c r="B38" s="11" t="inlineStr">
        <is>
          <t>ItemOrder</t>
        </is>
      </c>
      <c r="C38" s="11" t="inlineStr">
        <is>
          <t>Process</t>
        </is>
      </c>
      <c r="D38" s="11" t="inlineStr">
        <is>
          <t>Use</t>
        </is>
      </c>
      <c r="E38" s="11" t="inlineStr">
        <is>
          <t>UnitCost</t>
        </is>
      </c>
      <c r="F38" s="11" t="inlineStr">
        <is>
          <t>Unit</t>
        </is>
      </c>
      <c r="G38" s="11" t="inlineStr">
        <is>
          <t>Quantity</t>
        </is>
      </c>
      <c r="H38" s="11" t="inlineStr">
        <is>
          <t>Multiplier</t>
        </is>
      </c>
      <c r="I38" s="11" t="inlineStr">
        <is>
          <t>Mult. Val.</t>
        </is>
      </c>
      <c r="J38" s="15">
        <f>D38*F38*H38</f>
        <v/>
      </c>
    </row>
    <row r="39">
      <c r="B39" s="5" t="n">
        <v>1</v>
      </c>
      <c r="C39" s="5" t="n"/>
      <c r="D39" s="5" t="n"/>
      <c r="E39" s="8" t="n"/>
      <c r="F39" s="5" t="n"/>
      <c r="G39" s="5" t="n"/>
      <c r="H39" s="5" t="n"/>
      <c r="I39" s="5" t="n"/>
      <c r="J39" s="8">
        <f>D39*F39*H39</f>
        <v/>
      </c>
    </row>
    <row r="40">
      <c r="B40" s="5" t="n">
        <v>2</v>
      </c>
      <c r="C40" s="5" t="n"/>
      <c r="D40" s="5" t="n"/>
      <c r="E40" s="8" t="n"/>
      <c r="F40" s="5" t="n"/>
      <c r="G40" s="5" t="n"/>
      <c r="H40" s="5" t="n"/>
      <c r="I40" s="5" t="n"/>
      <c r="J40" s="8">
        <f>D40*F40*H40</f>
        <v/>
      </c>
    </row>
    <row r="41">
      <c r="B41" s="5" t="n">
        <v>3</v>
      </c>
      <c r="C41" s="5" t="n"/>
      <c r="D41" s="5" t="n"/>
      <c r="E41" s="8" t="n"/>
      <c r="F41" s="5" t="n"/>
      <c r="G41" s="5" t="n"/>
      <c r="H41" s="5" t="n"/>
      <c r="I41" s="5" t="n"/>
      <c r="J41" s="8">
        <f>D41*F41*H41</f>
        <v/>
      </c>
    </row>
    <row r="42">
      <c r="B42" s="5" t="n">
        <v>4</v>
      </c>
      <c r="C42" s="5" t="n"/>
      <c r="D42" s="5" t="n"/>
      <c r="E42" s="8" t="n"/>
      <c r="F42" s="5" t="n"/>
      <c r="G42" s="5" t="n"/>
      <c r="H42" s="5" t="n"/>
      <c r="I42" s="5" t="n"/>
      <c r="J42" s="8">
        <f>D42*F42*H42</f>
        <v/>
      </c>
    </row>
    <row r="43">
      <c r="B43" s="5" t="n">
        <v>5</v>
      </c>
      <c r="C43" s="5" t="n"/>
      <c r="D43" s="5" t="n"/>
      <c r="E43" s="8" t="n"/>
      <c r="F43" s="5" t="n"/>
      <c r="G43" s="5" t="n"/>
      <c r="H43" s="5" t="n"/>
      <c r="I43" s="5" t="n"/>
      <c r="J43" s="8">
        <f>D43*F43*H43</f>
        <v/>
      </c>
    </row>
    <row r="44">
      <c r="B44" s="5" t="n">
        <v>6</v>
      </c>
      <c r="C44" s="5" t="n"/>
      <c r="D44" s="5" t="n"/>
      <c r="E44" s="8" t="n"/>
      <c r="F44" s="5" t="n"/>
      <c r="G44" s="5" t="n"/>
      <c r="H44" s="5" t="n"/>
      <c r="I44" s="5" t="n"/>
      <c r="J44" s="8" t="n"/>
    </row>
    <row r="45" ht="20" customHeight="1">
      <c r="B45" s="5" t="n">
        <v>7</v>
      </c>
      <c r="C45" s="5" t="n"/>
      <c r="D45" s="5" t="n"/>
      <c r="E45" s="8" t="n"/>
      <c r="F45" s="5" t="n"/>
      <c r="G45" s="5" t="n"/>
      <c r="H45" s="5" t="n"/>
      <c r="I45" s="5" t="n"/>
      <c r="J45" s="8" t="n"/>
    </row>
    <row r="46">
      <c r="B46" s="5" t="n">
        <v>8</v>
      </c>
      <c r="C46" s="5" t="n"/>
      <c r="D46" s="5" t="n"/>
      <c r="E46" s="8" t="n"/>
      <c r="F46" s="5" t="n"/>
      <c r="G46" s="5" t="n"/>
      <c r="H46" s="5" t="n"/>
      <c r="I46" s="5" t="n"/>
      <c r="J46" s="8" t="n"/>
      <c r="K46" s="9">
        <f>D46*I46</f>
        <v/>
      </c>
    </row>
    <row r="47">
      <c r="B47" s="5" t="n">
        <v>9</v>
      </c>
      <c r="C47" s="5" t="n"/>
      <c r="D47" s="5" t="n"/>
      <c r="E47" s="8" t="n"/>
      <c r="F47" s="5" t="n"/>
      <c r="G47" s="5" t="n"/>
      <c r="H47" s="5" t="n"/>
      <c r="I47" s="5" t="n"/>
      <c r="J47" s="8" t="n"/>
      <c r="K47" s="9">
        <f>D47*I47</f>
        <v/>
      </c>
    </row>
    <row r="48">
      <c r="B48" s="5" t="n">
        <v>10</v>
      </c>
      <c r="C48" s="5" t="n"/>
      <c r="D48" s="5" t="n"/>
      <c r="E48" s="8" t="n"/>
      <c r="F48" s="5" t="n"/>
      <c r="G48" s="5" t="n"/>
      <c r="H48" s="5" t="n"/>
      <c r="I48" s="5" t="n"/>
      <c r="J48" s="8" t="n"/>
      <c r="K48" s="9">
        <f>D48*I48</f>
        <v/>
      </c>
    </row>
    <row r="49">
      <c r="K49" s="9">
        <f>D49*I49</f>
        <v/>
      </c>
    </row>
    <row r="50">
      <c r="B50" s="10" t="inlineStr">
        <is>
          <t>Fasteners</t>
        </is>
      </c>
      <c r="K50" s="9">
        <f>D50*I50</f>
        <v/>
      </c>
    </row>
    <row r="51">
      <c r="B51" s="11" t="inlineStr">
        <is>
          <t>ItemOrder</t>
        </is>
      </c>
      <c r="C51" s="11" t="inlineStr">
        <is>
          <t>Fastener</t>
        </is>
      </c>
      <c r="D51" s="11" t="inlineStr">
        <is>
          <t>Use</t>
        </is>
      </c>
      <c r="E51" s="11" t="inlineStr">
        <is>
          <t>UnitCost</t>
        </is>
      </c>
      <c r="F51" s="11" t="inlineStr">
        <is>
          <t>Size1</t>
        </is>
      </c>
      <c r="G51" s="11" t="inlineStr">
        <is>
          <t>Unit1</t>
        </is>
      </c>
      <c r="H51" s="11" t="inlineStr">
        <is>
          <t>Size2</t>
        </is>
      </c>
      <c r="I51" s="11" t="inlineStr">
        <is>
          <t>Unit2</t>
        </is>
      </c>
      <c r="J51" s="11" t="inlineStr">
        <is>
          <t>Quantity</t>
        </is>
      </c>
      <c r="K51" s="15">
        <f>D51*I51</f>
        <v/>
      </c>
    </row>
    <row r="52">
      <c r="B52" s="5" t="n">
        <v>1</v>
      </c>
      <c r="C52" s="5" t="n"/>
      <c r="D52" s="5" t="n"/>
      <c r="E52" s="8" t="n"/>
      <c r="F52" s="5" t="n"/>
      <c r="G52" s="5" t="n"/>
      <c r="H52" s="5" t="n"/>
      <c r="I52" s="5" t="n"/>
      <c r="J52" s="5" t="n"/>
      <c r="K52" s="8">
        <f>D52*I52</f>
        <v/>
      </c>
    </row>
    <row r="53">
      <c r="B53" s="5" t="n">
        <v>2</v>
      </c>
      <c r="C53" s="5" t="n"/>
      <c r="D53" s="5" t="n"/>
      <c r="E53" s="8" t="n"/>
      <c r="F53" s="5" t="n"/>
      <c r="G53" s="5" t="n"/>
      <c r="H53" s="5" t="n"/>
      <c r="I53" s="5" t="n"/>
      <c r="J53" s="5" t="n"/>
      <c r="K53" s="8">
        <f>D53*I53</f>
        <v/>
      </c>
    </row>
    <row r="54">
      <c r="B54" s="5" t="n">
        <v>3</v>
      </c>
      <c r="C54" s="5" t="n"/>
      <c r="D54" s="5" t="n"/>
      <c r="E54" s="8" t="n"/>
      <c r="F54" s="5" t="n"/>
      <c r="G54" s="5" t="n"/>
      <c r="H54" s="5" t="n"/>
      <c r="I54" s="5" t="n"/>
      <c r="J54" s="5" t="n"/>
      <c r="K54" s="8">
        <f>D54*I54</f>
        <v/>
      </c>
    </row>
    <row r="55">
      <c r="B55" s="5" t="n">
        <v>4</v>
      </c>
      <c r="C55" s="5" t="n"/>
      <c r="D55" s="5" t="n"/>
      <c r="E55" s="8" t="n"/>
      <c r="F55" s="5" t="n"/>
      <c r="G55" s="5" t="n"/>
      <c r="H55" s="5" t="n"/>
      <c r="I55" s="5" t="n"/>
      <c r="J55" s="5" t="n"/>
      <c r="K55" s="8">
        <f>D55*I55</f>
        <v/>
      </c>
    </row>
    <row r="56">
      <c r="B56" s="5" t="n">
        <v>5</v>
      </c>
      <c r="C56" s="5" t="n"/>
      <c r="D56" s="5" t="n"/>
      <c r="E56" s="8" t="n"/>
      <c r="F56" s="5" t="n"/>
      <c r="G56" s="5" t="n"/>
      <c r="H56" s="5" t="n"/>
      <c r="I56" s="5" t="n"/>
      <c r="J56" s="5" t="n"/>
      <c r="K56" s="8" t="n"/>
    </row>
    <row r="57" ht="20" customHeight="1">
      <c r="B57" s="5" t="n">
        <v>6</v>
      </c>
      <c r="C57" s="5" t="n"/>
      <c r="D57" s="5" t="n"/>
      <c r="E57" s="8" t="n"/>
      <c r="F57" s="5" t="n"/>
      <c r="G57" s="5" t="n"/>
      <c r="H57" s="5" t="n"/>
      <c r="I57" s="5" t="n"/>
      <c r="J57" s="5" t="n"/>
      <c r="K57" s="8" t="n"/>
    </row>
    <row r="58">
      <c r="B58" s="5" t="n">
        <v>7</v>
      </c>
      <c r="C58" s="5" t="n"/>
      <c r="D58" s="5" t="n"/>
      <c r="E58" s="8" t="n"/>
      <c r="F58" s="5" t="n"/>
      <c r="G58" s="5" t="n"/>
      <c r="H58" s="5" t="n"/>
      <c r="I58" s="5" t="n"/>
      <c r="J58" s="8">
        <f>D58*F58*G58*H58</f>
        <v/>
      </c>
      <c r="K58" s="8" t="n"/>
    </row>
    <row r="59">
      <c r="B59" s="5" t="n">
        <v>8</v>
      </c>
      <c r="C59" s="5" t="n"/>
      <c r="D59" s="5" t="n"/>
      <c r="E59" s="8" t="n"/>
      <c r="F59" s="5" t="n"/>
      <c r="G59" s="5" t="n"/>
      <c r="H59" s="5" t="n"/>
      <c r="I59" s="5" t="n"/>
      <c r="J59" s="8">
        <f>D59*F59*G59*H59</f>
        <v/>
      </c>
      <c r="K59" s="8" t="n"/>
    </row>
    <row r="60">
      <c r="B60" s="5" t="n">
        <v>9</v>
      </c>
      <c r="C60" s="5" t="n"/>
      <c r="D60" s="5" t="n"/>
      <c r="E60" s="8" t="n"/>
      <c r="F60" s="5" t="n"/>
      <c r="G60" s="5" t="n"/>
      <c r="H60" s="5" t="n"/>
      <c r="I60" s="5" t="n"/>
      <c r="J60" s="8">
        <f>D60*F60*G60*H60</f>
        <v/>
      </c>
      <c r="K60" s="8" t="n"/>
    </row>
    <row r="61">
      <c r="B61" s="5" t="n">
        <v>10</v>
      </c>
      <c r="C61" s="5" t="n"/>
      <c r="D61" s="5" t="n"/>
      <c r="E61" s="8" t="n"/>
      <c r="F61" s="5" t="n"/>
      <c r="G61" s="5" t="n"/>
      <c r="H61" s="5" t="n"/>
      <c r="I61" s="5" t="n"/>
      <c r="J61" s="8">
        <f>D61*F61*G61*H61</f>
        <v/>
      </c>
      <c r="K61" s="8" t="n"/>
    </row>
    <row r="62">
      <c r="J62" s="9">
        <f>D62*F62*G62*H62</f>
        <v/>
      </c>
    </row>
    <row r="63">
      <c r="B63" s="10" t="inlineStr">
        <is>
          <t>Tooling</t>
        </is>
      </c>
    </row>
    <row r="64">
      <c r="B64" s="11" t="inlineStr">
        <is>
          <t>ItemOrder</t>
        </is>
      </c>
      <c r="C64" s="11" t="inlineStr">
        <is>
          <t>Tooling</t>
        </is>
      </c>
      <c r="D64" s="11" t="inlineStr">
        <is>
          <t>Use</t>
        </is>
      </c>
      <c r="E64" s="11" t="inlineStr">
        <is>
          <t>UnitCost</t>
        </is>
      </c>
      <c r="F64" s="11" t="inlineStr">
        <is>
          <t>Unit</t>
        </is>
      </c>
      <c r="G64" s="11" t="inlineStr">
        <is>
          <t>Quantity</t>
        </is>
      </c>
      <c r="H64" s="11" t="inlineStr">
        <is>
          <t>PVF</t>
        </is>
      </c>
      <c r="I64" s="11" t="inlineStr">
        <is>
          <t>FractionIncluded</t>
        </is>
      </c>
      <c r="J64" s="11" t="inlineStr">
        <is>
          <t>Sub Total</t>
        </is>
      </c>
    </row>
    <row r="65">
      <c r="B65" s="5" t="n">
        <v>1</v>
      </c>
      <c r="C65" s="5" t="n"/>
      <c r="D65" s="5" t="n"/>
      <c r="E65" s="8" t="n"/>
      <c r="F65" s="5" t="n"/>
      <c r="G65" s="5" t="n"/>
      <c r="H65" s="5" t="n"/>
      <c r="I65" s="5" t="n"/>
      <c r="J65" s="8" t="n"/>
    </row>
    <row r="66">
      <c r="B66" s="5" t="n">
        <v>2</v>
      </c>
      <c r="C66" s="5" t="n"/>
      <c r="D66" s="5" t="n"/>
      <c r="E66" s="8" t="n"/>
      <c r="F66" s="5" t="n"/>
      <c r="G66" s="5" t="n"/>
      <c r="H66" s="5" t="n"/>
      <c r="I66" s="5" t="n"/>
      <c r="J66" s="8" t="n"/>
    </row>
    <row r="67">
      <c r="B67" s="5" t="n">
        <v>3</v>
      </c>
      <c r="C67" s="5" t="n"/>
      <c r="D67" s="5" t="n"/>
      <c r="E67" s="8" t="n"/>
      <c r="F67" s="5" t="n"/>
      <c r="G67" s="5" t="n"/>
      <c r="H67" s="5" t="n"/>
      <c r="I67" s="5" t="n"/>
      <c r="J67" s="8" t="n"/>
    </row>
    <row r="68">
      <c r="B68" s="5" t="n">
        <v>4</v>
      </c>
      <c r="C68" s="5" t="n"/>
      <c r="D68" s="5" t="n"/>
      <c r="E68" s="8" t="n"/>
      <c r="F68" s="5" t="n"/>
      <c r="G68" s="5" t="n"/>
      <c r="H68" s="5" t="n"/>
      <c r="I68" s="5" t="n"/>
      <c r="J68" s="8" t="n"/>
    </row>
    <row r="69">
      <c r="B69" s="5" t="n">
        <v>5</v>
      </c>
      <c r="C69" s="5" t="n"/>
      <c r="D69" s="5" t="n"/>
      <c r="E69" s="8" t="n"/>
      <c r="F69" s="5" t="n"/>
      <c r="G69" s="5" t="n"/>
      <c r="H69" s="5" t="n"/>
      <c r="I69" s="5" t="n"/>
      <c r="J69" s="8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0"/>
  <mergeCells count="1">
    <mergeCell ref="C7:H7"/>
  </mergeCells>
  <conditionalFormatting sqref="C10:C20">
    <cfRule type="cellIs" priority="1" operator="equal" dxfId="0" stopIfTrue="1">
      <formula>""</formula>
    </cfRule>
  </conditionalFormatting>
  <conditionalFormatting sqref="D10:D20">
    <cfRule type="expression" priority="2" dxfId="1" stopIfTrue="1">
      <formula>AND(C10&lt;&gt;"", D10="")</formula>
    </cfRule>
  </conditionalFormatting>
  <conditionalFormatting sqref="C22:C32">
    <cfRule type="cellIs" priority="3" operator="equal" dxfId="0" stopIfTrue="1">
      <formula>""</formula>
    </cfRule>
  </conditionalFormatting>
  <conditionalFormatting sqref="C34:C44">
    <cfRule type="cellIs" priority="4" operator="equal" dxfId="0" stopIfTrue="1">
      <formula>""</formula>
    </cfRule>
  </conditionalFormatting>
  <conditionalFormatting sqref="C46:C56">
    <cfRule type="cellIs" priority="5" operator="equal" dxfId="1" stopIfTrue="1">
      <formula>""</formula>
    </cfRule>
  </conditionalFormatting>
  <conditionalFormatting sqref="C58:C63">
    <cfRule type="cellIs" priority="6" operator="equal" dxfId="1" stopIfTrue="1">
      <formula>""</formula>
    </cfRule>
  </conditionalFormatting>
  <pageMargins left="0.5" right="0.5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2" max="2"/>
    <col width="25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B1" s="2" t="inlineStr">
        <is>
          <t>University:</t>
        </is>
      </c>
      <c r="C1" t="inlineStr">
        <is>
          <t>Ajeenkya DY Patil University</t>
        </is>
      </c>
    </row>
    <row r="2">
      <c r="B2" s="2" t="inlineStr">
        <is>
          <t>Team Name:</t>
        </is>
      </c>
      <c r="C2" t="inlineStr">
        <is>
          <t>Javitron</t>
        </is>
      </c>
    </row>
    <row r="3">
      <c r="B3" s="2" t="inlineStr">
        <is>
          <t>System:</t>
        </is>
      </c>
      <c r="C3" t="inlineStr">
        <is>
          <t>Misc</t>
        </is>
      </c>
    </row>
    <row r="4">
      <c r="B4" s="2" t="inlineStr">
        <is>
          <t>Assembly:</t>
        </is>
      </c>
    </row>
    <row r="5">
      <c r="B5" s="2" t="inlineStr">
        <is>
          <t>P/N Base:</t>
        </is>
      </c>
      <c r="C5" t="inlineStr">
        <is>
          <t>MS-XX-001</t>
        </is>
      </c>
    </row>
    <row r="6">
      <c r="B6" s="2" t="inlineStr">
        <is>
          <t>Suffix:</t>
        </is>
      </c>
    </row>
    <row r="7">
      <c r="B7" s="2" t="inlineStr">
        <is>
          <t>Details:</t>
        </is>
      </c>
    </row>
    <row r="8"/>
    <row r="9" ht="20" customHeight="1">
      <c r="B9" s="2" t="inlineStr">
        <is>
          <t>Car #:</t>
        </is>
      </c>
      <c r="D9" s="2" t="inlineStr">
        <is>
          <t>Asm Cost:</t>
        </is>
      </c>
      <c r="E9" s="9">
        <f>0</f>
        <v/>
      </c>
      <c r="F9" s="2" t="inlineStr">
        <is>
          <t>Qty:</t>
        </is>
      </c>
      <c r="G9" t="inlineStr">
        <is>
          <t>1</t>
        </is>
      </c>
      <c r="H9" s="2" t="inlineStr">
        <is>
          <t>Extended Cost:</t>
        </is>
      </c>
      <c r="I9" s="9">
        <f>E*G</f>
        <v/>
      </c>
    </row>
    <row r="10">
      <c r="F10" s="9">
        <f>D10*E10</f>
        <v/>
      </c>
    </row>
    <row r="11">
      <c r="B11" s="10" t="inlineStr">
        <is>
          <t>Parts</t>
        </is>
      </c>
      <c r="F11" s="9">
        <f>D11*E11</f>
        <v/>
      </c>
    </row>
    <row r="12">
      <c r="B12" s="4" t="inlineStr">
        <is>
          <t>ItemOrder</t>
        </is>
      </c>
      <c r="C12" s="4" t="inlineStr">
        <is>
          <t>Part</t>
        </is>
      </c>
      <c r="D12" s="4" t="inlineStr">
        <is>
          <t>Part Cost</t>
        </is>
      </c>
      <c r="E12" s="4" t="inlineStr">
        <is>
          <t>Quantity</t>
        </is>
      </c>
      <c r="F12" s="14">
        <f>D12*E12</f>
        <v/>
      </c>
    </row>
    <row r="13">
      <c r="B13" s="5" t="n">
        <v>1</v>
      </c>
      <c r="C13" s="5" t="n"/>
      <c r="D13" s="5" t="n"/>
      <c r="E13" s="8" t="n"/>
      <c r="F13" s="8">
        <f>D13*E13</f>
        <v/>
      </c>
    </row>
    <row r="14">
      <c r="B14" s="5" t="n">
        <v>2</v>
      </c>
      <c r="C14" s="5" t="n"/>
      <c r="D14" s="5" t="n"/>
      <c r="E14" s="8" t="n"/>
      <c r="F14" s="8">
        <f>D14*E14</f>
        <v/>
      </c>
    </row>
    <row r="15">
      <c r="B15" s="5" t="n">
        <v>3</v>
      </c>
      <c r="C15" s="5" t="n"/>
      <c r="D15" s="5" t="n"/>
      <c r="E15" s="8" t="n"/>
      <c r="F15" s="8">
        <f>D15*E15</f>
        <v/>
      </c>
    </row>
    <row r="16">
      <c r="B16" s="5" t="n">
        <v>4</v>
      </c>
      <c r="C16" s="5" t="n"/>
      <c r="D16" s="5" t="n"/>
      <c r="E16" s="8" t="n"/>
      <c r="F16" s="8">
        <f>D16*E16</f>
        <v/>
      </c>
    </row>
    <row r="17">
      <c r="B17" s="5" t="n">
        <v>5</v>
      </c>
      <c r="C17" s="5" t="n"/>
      <c r="D17" s="5" t="n"/>
      <c r="E17" s="8" t="n"/>
      <c r="F17" s="8">
        <f>D17*E17</f>
        <v/>
      </c>
    </row>
    <row r="18">
      <c r="B18" s="5" t="n">
        <v>6</v>
      </c>
      <c r="C18" s="5" t="n"/>
      <c r="D18" s="5" t="n"/>
      <c r="E18" s="8" t="n"/>
      <c r="F18" s="8">
        <f>D18*E18</f>
        <v/>
      </c>
    </row>
    <row r="19">
      <c r="B19" s="5" t="n">
        <v>7</v>
      </c>
      <c r="C19" s="5" t="n"/>
      <c r="D19" s="5" t="n"/>
      <c r="E19" s="8" t="n"/>
      <c r="F19" s="8">
        <f>D19*E19</f>
        <v/>
      </c>
    </row>
    <row r="20">
      <c r="B20" s="5" t="n">
        <v>8</v>
      </c>
      <c r="C20" s="5" t="n"/>
      <c r="D20" s="5" t="n"/>
      <c r="E20" s="8" t="n"/>
      <c r="F20" s="8" t="n"/>
    </row>
    <row r="21" ht="20" customHeight="1">
      <c r="B21" s="5" t="n">
        <v>9</v>
      </c>
      <c r="C21" s="5" t="n"/>
      <c r="D21" s="5" t="n"/>
      <c r="E21" s="8" t="n"/>
      <c r="F21" s="8" t="n"/>
    </row>
    <row r="22">
      <c r="B22" s="5" t="n">
        <v>10</v>
      </c>
      <c r="C22" s="5" t="n"/>
      <c r="D22" s="5" t="n"/>
      <c r="E22" s="8" t="n"/>
      <c r="F22" s="8" t="n"/>
      <c r="O22" s="9">
        <f>D22*M22</f>
        <v/>
      </c>
    </row>
    <row r="23">
      <c r="O23" s="9">
        <f>D23*M23</f>
        <v/>
      </c>
    </row>
    <row r="24">
      <c r="B24" s="10" t="inlineStr">
        <is>
          <t>Materials</t>
        </is>
      </c>
      <c r="O24" s="9">
        <f>D24*M24</f>
        <v/>
      </c>
    </row>
    <row r="25">
      <c r="B25" s="11" t="inlineStr">
        <is>
          <t>ItemOrder</t>
        </is>
      </c>
      <c r="C25" s="11" t="inlineStr">
        <is>
          <t>Material</t>
        </is>
      </c>
      <c r="D25" s="11" t="inlineStr">
        <is>
          <t>Use</t>
        </is>
      </c>
      <c r="E25" s="11" t="inlineStr">
        <is>
          <t>UnitCost</t>
        </is>
      </c>
      <c r="F25" s="11" t="inlineStr">
        <is>
          <t>Unit</t>
        </is>
      </c>
      <c r="G25" s="11" t="inlineStr">
        <is>
          <t>Size1</t>
        </is>
      </c>
      <c r="H25" s="11" t="inlineStr">
        <is>
          <t>Unit1</t>
        </is>
      </c>
      <c r="I25" s="11" t="inlineStr">
        <is>
          <t>Size2</t>
        </is>
      </c>
      <c r="J25" s="11" t="inlineStr">
        <is>
          <t>Unit2</t>
        </is>
      </c>
      <c r="K25" s="11" t="inlineStr">
        <is>
          <t>Area</t>
        </is>
      </c>
      <c r="L25" s="11" t="inlineStr">
        <is>
          <t>Length</t>
        </is>
      </c>
      <c r="M25" s="11" t="inlineStr">
        <is>
          <t>Density</t>
        </is>
      </c>
      <c r="N25" s="11" t="inlineStr">
        <is>
          <t>Quantity</t>
        </is>
      </c>
      <c r="O25" s="15">
        <f>D25*M25</f>
        <v/>
      </c>
    </row>
    <row r="26">
      <c r="B26" s="5" t="n">
        <v>1</v>
      </c>
      <c r="C26" s="5" t="n"/>
      <c r="D26" s="5" t="n"/>
      <c r="E26" s="8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8">
        <f>D26*M26</f>
        <v/>
      </c>
    </row>
    <row r="27">
      <c r="B27" s="5" t="n">
        <v>2</v>
      </c>
      <c r="C27" s="5" t="n"/>
      <c r="D27" s="5" t="n"/>
      <c r="E27" s="8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8">
        <f>D27*M27</f>
        <v/>
      </c>
    </row>
    <row r="28">
      <c r="B28" s="5" t="n">
        <v>3</v>
      </c>
      <c r="C28" s="5" t="n"/>
      <c r="D28" s="5" t="n"/>
      <c r="E28" s="8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8">
        <f>D28*M28</f>
        <v/>
      </c>
    </row>
    <row r="29">
      <c r="B29" s="5" t="n">
        <v>4</v>
      </c>
      <c r="C29" s="5" t="n"/>
      <c r="D29" s="5" t="n"/>
      <c r="E29" s="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8">
        <f>D29*M29</f>
        <v/>
      </c>
    </row>
    <row r="30">
      <c r="B30" s="5" t="n">
        <v>5</v>
      </c>
      <c r="C30" s="5" t="n"/>
      <c r="D30" s="5" t="n"/>
      <c r="E30" s="8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8">
        <f>D30*M30</f>
        <v/>
      </c>
    </row>
    <row r="31">
      <c r="B31" s="5" t="n">
        <v>6</v>
      </c>
      <c r="C31" s="5" t="n"/>
      <c r="D31" s="5" t="n"/>
      <c r="E31" s="8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8">
        <f>D31*M31</f>
        <v/>
      </c>
    </row>
    <row r="32">
      <c r="B32" s="5" t="n">
        <v>7</v>
      </c>
      <c r="C32" s="5" t="n"/>
      <c r="D32" s="5" t="n"/>
      <c r="E32" s="8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8" t="n"/>
    </row>
    <row r="33" ht="20" customHeight="1">
      <c r="B33" s="5" t="n">
        <v>8</v>
      </c>
      <c r="C33" s="5" t="n"/>
      <c r="D33" s="5" t="n"/>
      <c r="E33" s="8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8" t="n"/>
    </row>
    <row r="34">
      <c r="B34" s="5" t="n">
        <v>9</v>
      </c>
      <c r="C34" s="5" t="n"/>
      <c r="D34" s="5" t="n"/>
      <c r="E34" s="8" t="n"/>
      <c r="F34" s="5" t="n"/>
      <c r="G34" s="5" t="n"/>
      <c r="H34" s="5" t="n"/>
      <c r="I34" s="5" t="n"/>
      <c r="J34" s="8">
        <f>D34*F34*H34</f>
        <v/>
      </c>
      <c r="K34" s="5" t="n"/>
      <c r="L34" s="5" t="n"/>
      <c r="M34" s="5" t="n"/>
      <c r="N34" s="5" t="n"/>
      <c r="O34" s="8" t="n"/>
    </row>
    <row r="35">
      <c r="B35" s="5" t="n">
        <v>10</v>
      </c>
      <c r="C35" s="5" t="n"/>
      <c r="D35" s="5" t="n"/>
      <c r="E35" s="8" t="n"/>
      <c r="F35" s="5" t="n"/>
      <c r="G35" s="5" t="n"/>
      <c r="H35" s="5" t="n"/>
      <c r="I35" s="5" t="n"/>
      <c r="J35" s="8">
        <f>D35*F35*H35</f>
        <v/>
      </c>
      <c r="K35" s="5" t="n"/>
      <c r="L35" s="5" t="n"/>
      <c r="M35" s="5" t="n"/>
      <c r="N35" s="5" t="n"/>
      <c r="O35" s="8" t="n"/>
    </row>
    <row r="36">
      <c r="J36" s="9">
        <f>D36*F36*H36</f>
        <v/>
      </c>
    </row>
    <row r="37">
      <c r="B37" s="10" t="inlineStr">
        <is>
          <t>Processes</t>
        </is>
      </c>
      <c r="J37" s="9">
        <f>D37*F37*H37</f>
        <v/>
      </c>
    </row>
    <row r="38">
      <c r="B38" s="11" t="inlineStr">
        <is>
          <t>ItemOrder</t>
        </is>
      </c>
      <c r="C38" s="11" t="inlineStr">
        <is>
          <t>Process</t>
        </is>
      </c>
      <c r="D38" s="11" t="inlineStr">
        <is>
          <t>Use</t>
        </is>
      </c>
      <c r="E38" s="11" t="inlineStr">
        <is>
          <t>UnitCost</t>
        </is>
      </c>
      <c r="F38" s="11" t="inlineStr">
        <is>
          <t>Unit</t>
        </is>
      </c>
      <c r="G38" s="11" t="inlineStr">
        <is>
          <t>Quantity</t>
        </is>
      </c>
      <c r="H38" s="11" t="inlineStr">
        <is>
          <t>Multiplier</t>
        </is>
      </c>
      <c r="I38" s="11" t="inlineStr">
        <is>
          <t>Mult. Val.</t>
        </is>
      </c>
      <c r="J38" s="15">
        <f>D38*F38*H38</f>
        <v/>
      </c>
    </row>
    <row r="39">
      <c r="B39" s="5" t="n">
        <v>1</v>
      </c>
      <c r="C39" s="5" t="n"/>
      <c r="D39" s="5" t="n"/>
      <c r="E39" s="8" t="n"/>
      <c r="F39" s="5" t="n"/>
      <c r="G39" s="5" t="n"/>
      <c r="H39" s="5" t="n"/>
      <c r="I39" s="5" t="n"/>
      <c r="J39" s="8">
        <f>D39*F39*H39</f>
        <v/>
      </c>
    </row>
    <row r="40">
      <c r="B40" s="5" t="n">
        <v>2</v>
      </c>
      <c r="C40" s="5" t="n"/>
      <c r="D40" s="5" t="n"/>
      <c r="E40" s="8" t="n"/>
      <c r="F40" s="5" t="n"/>
      <c r="G40" s="5" t="n"/>
      <c r="H40" s="5" t="n"/>
      <c r="I40" s="5" t="n"/>
      <c r="J40" s="8">
        <f>D40*F40*H40</f>
        <v/>
      </c>
    </row>
    <row r="41">
      <c r="B41" s="5" t="n">
        <v>3</v>
      </c>
      <c r="C41" s="5" t="n"/>
      <c r="D41" s="5" t="n"/>
      <c r="E41" s="8" t="n"/>
      <c r="F41" s="5" t="n"/>
      <c r="G41" s="5" t="n"/>
      <c r="H41" s="5" t="n"/>
      <c r="I41" s="5" t="n"/>
      <c r="J41" s="8">
        <f>D41*F41*H41</f>
        <v/>
      </c>
    </row>
    <row r="42">
      <c r="B42" s="5" t="n">
        <v>4</v>
      </c>
      <c r="C42" s="5" t="n"/>
      <c r="D42" s="5" t="n"/>
      <c r="E42" s="8" t="n"/>
      <c r="F42" s="5" t="n"/>
      <c r="G42" s="5" t="n"/>
      <c r="H42" s="5" t="n"/>
      <c r="I42" s="5" t="n"/>
      <c r="J42" s="8">
        <f>D42*F42*H42</f>
        <v/>
      </c>
    </row>
    <row r="43">
      <c r="B43" s="5" t="n">
        <v>5</v>
      </c>
      <c r="C43" s="5" t="n"/>
      <c r="D43" s="5" t="n"/>
      <c r="E43" s="8" t="n"/>
      <c r="F43" s="5" t="n"/>
      <c r="G43" s="5" t="n"/>
      <c r="H43" s="5" t="n"/>
      <c r="I43" s="5" t="n"/>
      <c r="J43" s="8">
        <f>D43*F43*H43</f>
        <v/>
      </c>
    </row>
    <row r="44">
      <c r="B44" s="5" t="n">
        <v>6</v>
      </c>
      <c r="C44" s="5" t="n"/>
      <c r="D44" s="5" t="n"/>
      <c r="E44" s="8" t="n"/>
      <c r="F44" s="5" t="n"/>
      <c r="G44" s="5" t="n"/>
      <c r="H44" s="5" t="n"/>
      <c r="I44" s="5" t="n"/>
      <c r="J44" s="8" t="n"/>
    </row>
    <row r="45" ht="20" customHeight="1">
      <c r="B45" s="5" t="n">
        <v>7</v>
      </c>
      <c r="C45" s="5" t="n"/>
      <c r="D45" s="5" t="n"/>
      <c r="E45" s="8" t="n"/>
      <c r="F45" s="5" t="n"/>
      <c r="G45" s="5" t="n"/>
      <c r="H45" s="5" t="n"/>
      <c r="I45" s="5" t="n"/>
      <c r="J45" s="8" t="n"/>
    </row>
    <row r="46">
      <c r="B46" s="5" t="n">
        <v>8</v>
      </c>
      <c r="C46" s="5" t="n"/>
      <c r="D46" s="5" t="n"/>
      <c r="E46" s="8" t="n"/>
      <c r="F46" s="5" t="n"/>
      <c r="G46" s="5" t="n"/>
      <c r="H46" s="5" t="n"/>
      <c r="I46" s="5" t="n"/>
      <c r="J46" s="8" t="n"/>
      <c r="K46" s="9">
        <f>D46*I46</f>
        <v/>
      </c>
    </row>
    <row r="47">
      <c r="B47" s="5" t="n">
        <v>9</v>
      </c>
      <c r="C47" s="5" t="n"/>
      <c r="D47" s="5" t="n"/>
      <c r="E47" s="8" t="n"/>
      <c r="F47" s="5" t="n"/>
      <c r="G47" s="5" t="n"/>
      <c r="H47" s="5" t="n"/>
      <c r="I47" s="5" t="n"/>
      <c r="J47" s="8" t="n"/>
      <c r="K47" s="9">
        <f>D47*I47</f>
        <v/>
      </c>
    </row>
    <row r="48">
      <c r="B48" s="5" t="n">
        <v>10</v>
      </c>
      <c r="C48" s="5" t="n"/>
      <c r="D48" s="5" t="n"/>
      <c r="E48" s="8" t="n"/>
      <c r="F48" s="5" t="n"/>
      <c r="G48" s="5" t="n"/>
      <c r="H48" s="5" t="n"/>
      <c r="I48" s="5" t="n"/>
      <c r="J48" s="8" t="n"/>
      <c r="K48" s="9">
        <f>D48*I48</f>
        <v/>
      </c>
    </row>
    <row r="49">
      <c r="K49" s="9">
        <f>D49*I49</f>
        <v/>
      </c>
    </row>
    <row r="50">
      <c r="B50" s="10" t="inlineStr">
        <is>
          <t>Fasteners</t>
        </is>
      </c>
      <c r="K50" s="9">
        <f>D50*I50</f>
        <v/>
      </c>
    </row>
    <row r="51">
      <c r="B51" s="11" t="inlineStr">
        <is>
          <t>ItemOrder</t>
        </is>
      </c>
      <c r="C51" s="11" t="inlineStr">
        <is>
          <t>Fastener</t>
        </is>
      </c>
      <c r="D51" s="11" t="inlineStr">
        <is>
          <t>Use</t>
        </is>
      </c>
      <c r="E51" s="11" t="inlineStr">
        <is>
          <t>UnitCost</t>
        </is>
      </c>
      <c r="F51" s="11" t="inlineStr">
        <is>
          <t>Size1</t>
        </is>
      </c>
      <c r="G51" s="11" t="inlineStr">
        <is>
          <t>Unit1</t>
        </is>
      </c>
      <c r="H51" s="11" t="inlineStr">
        <is>
          <t>Size2</t>
        </is>
      </c>
      <c r="I51" s="11" t="inlineStr">
        <is>
          <t>Unit2</t>
        </is>
      </c>
      <c r="J51" s="11" t="inlineStr">
        <is>
          <t>Quantity</t>
        </is>
      </c>
      <c r="K51" s="15">
        <f>D51*I51</f>
        <v/>
      </c>
    </row>
    <row r="52">
      <c r="B52" s="5" t="n">
        <v>1</v>
      </c>
      <c r="C52" s="5" t="n"/>
      <c r="D52" s="5" t="n"/>
      <c r="E52" s="8" t="n"/>
      <c r="F52" s="5" t="n"/>
      <c r="G52" s="5" t="n"/>
      <c r="H52" s="5" t="n"/>
      <c r="I52" s="5" t="n"/>
      <c r="J52" s="5" t="n"/>
      <c r="K52" s="8">
        <f>D52*I52</f>
        <v/>
      </c>
    </row>
    <row r="53">
      <c r="B53" s="5" t="n">
        <v>2</v>
      </c>
      <c r="C53" s="5" t="n"/>
      <c r="D53" s="5" t="n"/>
      <c r="E53" s="8" t="n"/>
      <c r="F53" s="5" t="n"/>
      <c r="G53" s="5" t="n"/>
      <c r="H53" s="5" t="n"/>
      <c r="I53" s="5" t="n"/>
      <c r="J53" s="5" t="n"/>
      <c r="K53" s="8">
        <f>D53*I53</f>
        <v/>
      </c>
    </row>
    <row r="54">
      <c r="B54" s="5" t="n">
        <v>3</v>
      </c>
      <c r="C54" s="5" t="n"/>
      <c r="D54" s="5" t="n"/>
      <c r="E54" s="8" t="n"/>
      <c r="F54" s="5" t="n"/>
      <c r="G54" s="5" t="n"/>
      <c r="H54" s="5" t="n"/>
      <c r="I54" s="5" t="n"/>
      <c r="J54" s="5" t="n"/>
      <c r="K54" s="8">
        <f>D54*I54</f>
        <v/>
      </c>
    </row>
    <row r="55">
      <c r="B55" s="5" t="n">
        <v>4</v>
      </c>
      <c r="C55" s="5" t="n"/>
      <c r="D55" s="5" t="n"/>
      <c r="E55" s="8" t="n"/>
      <c r="F55" s="5" t="n"/>
      <c r="G55" s="5" t="n"/>
      <c r="H55" s="5" t="n"/>
      <c r="I55" s="5" t="n"/>
      <c r="J55" s="5" t="n"/>
      <c r="K55" s="8">
        <f>D55*I55</f>
        <v/>
      </c>
    </row>
    <row r="56">
      <c r="B56" s="5" t="n">
        <v>5</v>
      </c>
      <c r="C56" s="5" t="n"/>
      <c r="D56" s="5" t="n"/>
      <c r="E56" s="8" t="n"/>
      <c r="F56" s="5" t="n"/>
      <c r="G56" s="5" t="n"/>
      <c r="H56" s="5" t="n"/>
      <c r="I56" s="5" t="n"/>
      <c r="J56" s="5" t="n"/>
      <c r="K56" s="8" t="n"/>
    </row>
    <row r="57" ht="20" customHeight="1">
      <c r="B57" s="5" t="n">
        <v>6</v>
      </c>
      <c r="C57" s="5" t="n"/>
      <c r="D57" s="5" t="n"/>
      <c r="E57" s="8" t="n"/>
      <c r="F57" s="5" t="n"/>
      <c r="G57" s="5" t="n"/>
      <c r="H57" s="5" t="n"/>
      <c r="I57" s="5" t="n"/>
      <c r="J57" s="5" t="n"/>
      <c r="K57" s="8" t="n"/>
    </row>
    <row r="58">
      <c r="B58" s="5" t="n">
        <v>7</v>
      </c>
      <c r="C58" s="5" t="n"/>
      <c r="D58" s="5" t="n"/>
      <c r="E58" s="8" t="n"/>
      <c r="F58" s="5" t="n"/>
      <c r="G58" s="5" t="n"/>
      <c r="H58" s="5" t="n"/>
      <c r="I58" s="5" t="n"/>
      <c r="J58" s="8">
        <f>D58*F58*G58*H58</f>
        <v/>
      </c>
      <c r="K58" s="8" t="n"/>
    </row>
    <row r="59">
      <c r="B59" s="5" t="n">
        <v>8</v>
      </c>
      <c r="C59" s="5" t="n"/>
      <c r="D59" s="5" t="n"/>
      <c r="E59" s="8" t="n"/>
      <c r="F59" s="5" t="n"/>
      <c r="G59" s="5" t="n"/>
      <c r="H59" s="5" t="n"/>
      <c r="I59" s="5" t="n"/>
      <c r="J59" s="8">
        <f>D59*F59*G59*H59</f>
        <v/>
      </c>
      <c r="K59" s="8" t="n"/>
    </row>
    <row r="60">
      <c r="B60" s="5" t="n">
        <v>9</v>
      </c>
      <c r="C60" s="5" t="n"/>
      <c r="D60" s="5" t="n"/>
      <c r="E60" s="8" t="n"/>
      <c r="F60" s="5" t="n"/>
      <c r="G60" s="5" t="n"/>
      <c r="H60" s="5" t="n"/>
      <c r="I60" s="5" t="n"/>
      <c r="J60" s="8">
        <f>D60*F60*G60*H60</f>
        <v/>
      </c>
      <c r="K60" s="8" t="n"/>
    </row>
    <row r="61">
      <c r="B61" s="5" t="n">
        <v>10</v>
      </c>
      <c r="C61" s="5" t="n"/>
      <c r="D61" s="5" t="n"/>
      <c r="E61" s="8" t="n"/>
      <c r="F61" s="5" t="n"/>
      <c r="G61" s="5" t="n"/>
      <c r="H61" s="5" t="n"/>
      <c r="I61" s="5" t="n"/>
      <c r="J61" s="8">
        <f>D61*F61*G61*H61</f>
        <v/>
      </c>
      <c r="K61" s="8" t="n"/>
    </row>
    <row r="62">
      <c r="J62" s="9">
        <f>D62*F62*G62*H62</f>
        <v/>
      </c>
    </row>
    <row r="63">
      <c r="B63" s="10" t="inlineStr">
        <is>
          <t>Tooling</t>
        </is>
      </c>
    </row>
    <row r="64">
      <c r="B64" s="11" t="inlineStr">
        <is>
          <t>ItemOrder</t>
        </is>
      </c>
      <c r="C64" s="11" t="inlineStr">
        <is>
          <t>Tooling</t>
        </is>
      </c>
      <c r="D64" s="11" t="inlineStr">
        <is>
          <t>Use</t>
        </is>
      </c>
      <c r="E64" s="11" t="inlineStr">
        <is>
          <t>UnitCost</t>
        </is>
      </c>
      <c r="F64" s="11" t="inlineStr">
        <is>
          <t>Unit</t>
        </is>
      </c>
      <c r="G64" s="11" t="inlineStr">
        <is>
          <t>Quantity</t>
        </is>
      </c>
      <c r="H64" s="11" t="inlineStr">
        <is>
          <t>PVF</t>
        </is>
      </c>
      <c r="I64" s="11" t="inlineStr">
        <is>
          <t>FractionIncluded</t>
        </is>
      </c>
      <c r="J64" s="11" t="inlineStr">
        <is>
          <t>Sub Total</t>
        </is>
      </c>
    </row>
    <row r="65">
      <c r="B65" s="5" t="n">
        <v>1</v>
      </c>
      <c r="C65" s="5" t="n"/>
      <c r="D65" s="5" t="n"/>
      <c r="E65" s="8" t="n"/>
      <c r="F65" s="5" t="n"/>
      <c r="G65" s="5" t="n"/>
      <c r="H65" s="5" t="n"/>
      <c r="I65" s="5" t="n"/>
      <c r="J65" s="8" t="n"/>
    </row>
    <row r="66">
      <c r="B66" s="5" t="n">
        <v>2</v>
      </c>
      <c r="C66" s="5" t="n"/>
      <c r="D66" s="5" t="n"/>
      <c r="E66" s="8" t="n"/>
      <c r="F66" s="5" t="n"/>
      <c r="G66" s="5" t="n"/>
      <c r="H66" s="5" t="n"/>
      <c r="I66" s="5" t="n"/>
      <c r="J66" s="8" t="n"/>
    </row>
    <row r="67">
      <c r="B67" s="5" t="n">
        <v>3</v>
      </c>
      <c r="C67" s="5" t="n"/>
      <c r="D67" s="5" t="n"/>
      <c r="E67" s="8" t="n"/>
      <c r="F67" s="5" t="n"/>
      <c r="G67" s="5" t="n"/>
      <c r="H67" s="5" t="n"/>
      <c r="I67" s="5" t="n"/>
      <c r="J67" s="8" t="n"/>
    </row>
    <row r="68">
      <c r="B68" s="5" t="n">
        <v>4</v>
      </c>
      <c r="C68" s="5" t="n"/>
      <c r="D68" s="5" t="n"/>
      <c r="E68" s="8" t="n"/>
      <c r="F68" s="5" t="n"/>
      <c r="G68" s="5" t="n"/>
      <c r="H68" s="5" t="n"/>
      <c r="I68" s="5" t="n"/>
      <c r="J68" s="8" t="n"/>
    </row>
    <row r="69">
      <c r="B69" s="5" t="n">
        <v>5</v>
      </c>
      <c r="C69" s="5" t="n"/>
      <c r="D69" s="5" t="n"/>
      <c r="E69" s="8" t="n"/>
      <c r="F69" s="5" t="n"/>
      <c r="G69" s="5" t="n"/>
      <c r="H69" s="5" t="n"/>
      <c r="I69" s="5" t="n"/>
      <c r="J69" s="8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0"/>
  <mergeCells count="1">
    <mergeCell ref="C7:H7"/>
  </mergeCells>
  <conditionalFormatting sqref="C10:C20">
    <cfRule type="cellIs" priority="1" operator="equal" dxfId="0" stopIfTrue="1">
      <formula>""</formula>
    </cfRule>
  </conditionalFormatting>
  <conditionalFormatting sqref="D10:D20">
    <cfRule type="expression" priority="2" dxfId="1" stopIfTrue="1">
      <formula>AND(C10&lt;&gt;"", D10="")</formula>
    </cfRule>
  </conditionalFormatting>
  <conditionalFormatting sqref="C22:C32">
    <cfRule type="cellIs" priority="3" operator="equal" dxfId="0" stopIfTrue="1">
      <formula>""</formula>
    </cfRule>
  </conditionalFormatting>
  <conditionalFormatting sqref="C34:C44">
    <cfRule type="cellIs" priority="4" operator="equal" dxfId="0" stopIfTrue="1">
      <formula>""</formula>
    </cfRule>
  </conditionalFormatting>
  <conditionalFormatting sqref="C46:C56">
    <cfRule type="cellIs" priority="5" operator="equal" dxfId="1" stopIfTrue="1">
      <formula>""</formula>
    </cfRule>
  </conditionalFormatting>
  <conditionalFormatting sqref="C58:C63">
    <cfRule type="cellIs" priority="6" operator="equal" dxfId="1" stopIfTrue="1">
      <formula>""</formula>
    </cfRule>
  </conditionalFormatting>
  <pageMargins left="0.5" right="0.5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2" max="2"/>
    <col width="25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B1" s="2" t="inlineStr">
        <is>
          <t>University:</t>
        </is>
      </c>
      <c r="C1" t="inlineStr">
        <is>
          <t>Ajeenkya DY Patil University</t>
        </is>
      </c>
    </row>
    <row r="2">
      <c r="B2" s="2" t="inlineStr">
        <is>
          <t>Team Name:</t>
        </is>
      </c>
      <c r="C2" t="inlineStr">
        <is>
          <t>Javitron</t>
        </is>
      </c>
    </row>
    <row r="3">
      <c r="B3" s="2" t="inlineStr">
        <is>
          <t>System:</t>
        </is>
      </c>
      <c r="C3" t="inlineStr">
        <is>
          <t>Steering</t>
        </is>
      </c>
    </row>
    <row r="4">
      <c r="B4" s="2" t="inlineStr">
        <is>
          <t>Assembly:</t>
        </is>
      </c>
    </row>
    <row r="5">
      <c r="B5" s="2" t="inlineStr">
        <is>
          <t>P/N Base:</t>
        </is>
      </c>
      <c r="C5" t="inlineStr">
        <is>
          <t>ST-XX-001</t>
        </is>
      </c>
    </row>
    <row r="6">
      <c r="B6" s="2" t="inlineStr">
        <is>
          <t>Suffix:</t>
        </is>
      </c>
    </row>
    <row r="7">
      <c r="B7" s="2" t="inlineStr">
        <is>
          <t>Details:</t>
        </is>
      </c>
    </row>
    <row r="8"/>
    <row r="9" ht="20" customHeight="1">
      <c r="B9" s="2" t="inlineStr">
        <is>
          <t>Car #:</t>
        </is>
      </c>
      <c r="D9" s="2" t="inlineStr">
        <is>
          <t>Asm Cost:</t>
        </is>
      </c>
      <c r="E9" s="9">
        <f>0</f>
        <v/>
      </c>
      <c r="F9" s="2" t="inlineStr">
        <is>
          <t>Qty:</t>
        </is>
      </c>
      <c r="G9" t="inlineStr">
        <is>
          <t>1</t>
        </is>
      </c>
      <c r="H9" s="2" t="inlineStr">
        <is>
          <t>Extended Cost:</t>
        </is>
      </c>
      <c r="I9" s="9">
        <f>E*G</f>
        <v/>
      </c>
    </row>
    <row r="10">
      <c r="F10" s="9">
        <f>D10*E10</f>
        <v/>
      </c>
    </row>
    <row r="11">
      <c r="B11" s="10" t="inlineStr">
        <is>
          <t>Parts</t>
        </is>
      </c>
      <c r="F11" s="9">
        <f>D11*E11</f>
        <v/>
      </c>
    </row>
    <row r="12">
      <c r="B12" s="4" t="inlineStr">
        <is>
          <t>ItemOrder</t>
        </is>
      </c>
      <c r="C12" s="4" t="inlineStr">
        <is>
          <t>Part</t>
        </is>
      </c>
      <c r="D12" s="4" t="inlineStr">
        <is>
          <t>Part Cost</t>
        </is>
      </c>
      <c r="E12" s="4" t="inlineStr">
        <is>
          <t>Quantity</t>
        </is>
      </c>
      <c r="F12" s="14">
        <f>D12*E12</f>
        <v/>
      </c>
    </row>
    <row r="13">
      <c r="B13" s="5" t="n">
        <v>1</v>
      </c>
      <c r="C13" s="5" t="n"/>
      <c r="D13" s="5" t="n"/>
      <c r="E13" s="8" t="n"/>
      <c r="F13" s="8">
        <f>D13*E13</f>
        <v/>
      </c>
    </row>
    <row r="14">
      <c r="B14" s="5" t="n">
        <v>2</v>
      </c>
      <c r="C14" s="5" t="n"/>
      <c r="D14" s="5" t="n"/>
      <c r="E14" s="8" t="n"/>
      <c r="F14" s="8">
        <f>D14*E14</f>
        <v/>
      </c>
    </row>
    <row r="15">
      <c r="B15" s="5" t="n">
        <v>3</v>
      </c>
      <c r="C15" s="5" t="n"/>
      <c r="D15" s="5" t="n"/>
      <c r="E15" s="8" t="n"/>
      <c r="F15" s="8">
        <f>D15*E15</f>
        <v/>
      </c>
    </row>
    <row r="16">
      <c r="B16" s="5" t="n">
        <v>4</v>
      </c>
      <c r="C16" s="5" t="n"/>
      <c r="D16" s="5" t="n"/>
      <c r="E16" s="8" t="n"/>
      <c r="F16" s="8">
        <f>D16*E16</f>
        <v/>
      </c>
    </row>
    <row r="17">
      <c r="B17" s="5" t="n">
        <v>5</v>
      </c>
      <c r="C17" s="5" t="n"/>
      <c r="D17" s="5" t="n"/>
      <c r="E17" s="8" t="n"/>
      <c r="F17" s="8">
        <f>D17*E17</f>
        <v/>
      </c>
    </row>
    <row r="18">
      <c r="B18" s="5" t="n">
        <v>6</v>
      </c>
      <c r="C18" s="5" t="n"/>
      <c r="D18" s="5" t="n"/>
      <c r="E18" s="8" t="n"/>
      <c r="F18" s="8">
        <f>D18*E18</f>
        <v/>
      </c>
    </row>
    <row r="19">
      <c r="B19" s="5" t="n">
        <v>7</v>
      </c>
      <c r="C19" s="5" t="n"/>
      <c r="D19" s="5" t="n"/>
      <c r="E19" s="8" t="n"/>
      <c r="F19" s="8">
        <f>D19*E19</f>
        <v/>
      </c>
    </row>
    <row r="20">
      <c r="B20" s="5" t="n">
        <v>8</v>
      </c>
      <c r="C20" s="5" t="n"/>
      <c r="D20" s="5" t="n"/>
      <c r="E20" s="8" t="n"/>
      <c r="F20" s="8" t="n"/>
    </row>
    <row r="21" ht="20" customHeight="1">
      <c r="B21" s="5" t="n">
        <v>9</v>
      </c>
      <c r="C21" s="5" t="n"/>
      <c r="D21" s="5" t="n"/>
      <c r="E21" s="8" t="n"/>
      <c r="F21" s="8" t="n"/>
    </row>
    <row r="22">
      <c r="B22" s="5" t="n">
        <v>10</v>
      </c>
      <c r="C22" s="5" t="n"/>
      <c r="D22" s="5" t="n"/>
      <c r="E22" s="8" t="n"/>
      <c r="F22" s="8" t="n"/>
      <c r="O22" s="9">
        <f>D22*M22</f>
        <v/>
      </c>
    </row>
    <row r="23">
      <c r="O23" s="9">
        <f>D23*M23</f>
        <v/>
      </c>
    </row>
    <row r="24">
      <c r="B24" s="10" t="inlineStr">
        <is>
          <t>Materials</t>
        </is>
      </c>
      <c r="O24" s="9">
        <f>D24*M24</f>
        <v/>
      </c>
    </row>
    <row r="25">
      <c r="B25" s="11" t="inlineStr">
        <is>
          <t>ItemOrder</t>
        </is>
      </c>
      <c r="C25" s="11" t="inlineStr">
        <is>
          <t>Material</t>
        </is>
      </c>
      <c r="D25" s="11" t="inlineStr">
        <is>
          <t>Use</t>
        </is>
      </c>
      <c r="E25" s="11" t="inlineStr">
        <is>
          <t>UnitCost</t>
        </is>
      </c>
      <c r="F25" s="11" t="inlineStr">
        <is>
          <t>Unit</t>
        </is>
      </c>
      <c r="G25" s="11" t="inlineStr">
        <is>
          <t>Size1</t>
        </is>
      </c>
      <c r="H25" s="11" t="inlineStr">
        <is>
          <t>Unit1</t>
        </is>
      </c>
      <c r="I25" s="11" t="inlineStr">
        <is>
          <t>Size2</t>
        </is>
      </c>
      <c r="J25" s="11" t="inlineStr">
        <is>
          <t>Unit2</t>
        </is>
      </c>
      <c r="K25" s="11" t="inlineStr">
        <is>
          <t>Area</t>
        </is>
      </c>
      <c r="L25" s="11" t="inlineStr">
        <is>
          <t>Length</t>
        </is>
      </c>
      <c r="M25" s="11" t="inlineStr">
        <is>
          <t>Density</t>
        </is>
      </c>
      <c r="N25" s="11" t="inlineStr">
        <is>
          <t>Quantity</t>
        </is>
      </c>
      <c r="O25" s="15">
        <f>D25*M25</f>
        <v/>
      </c>
    </row>
    <row r="26">
      <c r="B26" s="5" t="n">
        <v>1</v>
      </c>
      <c r="C26" s="5" t="n"/>
      <c r="D26" s="5" t="n"/>
      <c r="E26" s="8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8">
        <f>D26*M26</f>
        <v/>
      </c>
    </row>
    <row r="27">
      <c r="B27" s="5" t="n">
        <v>2</v>
      </c>
      <c r="C27" s="5" t="n"/>
      <c r="D27" s="5" t="n"/>
      <c r="E27" s="8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8">
        <f>D27*M27</f>
        <v/>
      </c>
    </row>
    <row r="28">
      <c r="B28" s="5" t="n">
        <v>3</v>
      </c>
      <c r="C28" s="5" t="n"/>
      <c r="D28" s="5" t="n"/>
      <c r="E28" s="8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8">
        <f>D28*M28</f>
        <v/>
      </c>
    </row>
    <row r="29">
      <c r="B29" s="5" t="n">
        <v>4</v>
      </c>
      <c r="C29" s="5" t="n"/>
      <c r="D29" s="5" t="n"/>
      <c r="E29" s="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8">
        <f>D29*M29</f>
        <v/>
      </c>
    </row>
    <row r="30">
      <c r="B30" s="5" t="n">
        <v>5</v>
      </c>
      <c r="C30" s="5" t="n"/>
      <c r="D30" s="5" t="n"/>
      <c r="E30" s="8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8">
        <f>D30*M30</f>
        <v/>
      </c>
    </row>
    <row r="31">
      <c r="B31" s="5" t="n">
        <v>6</v>
      </c>
      <c r="C31" s="5" t="n"/>
      <c r="D31" s="5" t="n"/>
      <c r="E31" s="8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8">
        <f>D31*M31</f>
        <v/>
      </c>
    </row>
    <row r="32">
      <c r="B32" s="5" t="n">
        <v>7</v>
      </c>
      <c r="C32" s="5" t="n"/>
      <c r="D32" s="5" t="n"/>
      <c r="E32" s="8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8" t="n"/>
    </row>
    <row r="33" ht="20" customHeight="1">
      <c r="B33" s="5" t="n">
        <v>8</v>
      </c>
      <c r="C33" s="5" t="n"/>
      <c r="D33" s="5" t="n"/>
      <c r="E33" s="8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8" t="n"/>
    </row>
    <row r="34">
      <c r="B34" s="5" t="n">
        <v>9</v>
      </c>
      <c r="C34" s="5" t="n"/>
      <c r="D34" s="5" t="n"/>
      <c r="E34" s="8" t="n"/>
      <c r="F34" s="5" t="n"/>
      <c r="G34" s="5" t="n"/>
      <c r="H34" s="5" t="n"/>
      <c r="I34" s="5" t="n"/>
      <c r="J34" s="8">
        <f>D34*F34*H34</f>
        <v/>
      </c>
      <c r="K34" s="5" t="n"/>
      <c r="L34" s="5" t="n"/>
      <c r="M34" s="5" t="n"/>
      <c r="N34" s="5" t="n"/>
      <c r="O34" s="8" t="n"/>
    </row>
    <row r="35">
      <c r="B35" s="5" t="n">
        <v>10</v>
      </c>
      <c r="C35" s="5" t="n"/>
      <c r="D35" s="5" t="n"/>
      <c r="E35" s="8" t="n"/>
      <c r="F35" s="5" t="n"/>
      <c r="G35" s="5" t="n"/>
      <c r="H35" s="5" t="n"/>
      <c r="I35" s="5" t="n"/>
      <c r="J35" s="8">
        <f>D35*F35*H35</f>
        <v/>
      </c>
      <c r="K35" s="5" t="n"/>
      <c r="L35" s="5" t="n"/>
      <c r="M35" s="5" t="n"/>
      <c r="N35" s="5" t="n"/>
      <c r="O35" s="8" t="n"/>
    </row>
    <row r="36">
      <c r="J36" s="9">
        <f>D36*F36*H36</f>
        <v/>
      </c>
    </row>
    <row r="37">
      <c r="B37" s="10" t="inlineStr">
        <is>
          <t>Processes</t>
        </is>
      </c>
      <c r="J37" s="9">
        <f>D37*F37*H37</f>
        <v/>
      </c>
    </row>
    <row r="38">
      <c r="B38" s="11" t="inlineStr">
        <is>
          <t>ItemOrder</t>
        </is>
      </c>
      <c r="C38" s="11" t="inlineStr">
        <is>
          <t>Process</t>
        </is>
      </c>
      <c r="D38" s="11" t="inlineStr">
        <is>
          <t>Use</t>
        </is>
      </c>
      <c r="E38" s="11" t="inlineStr">
        <is>
          <t>UnitCost</t>
        </is>
      </c>
      <c r="F38" s="11" t="inlineStr">
        <is>
          <t>Unit</t>
        </is>
      </c>
      <c r="G38" s="11" t="inlineStr">
        <is>
          <t>Quantity</t>
        </is>
      </c>
      <c r="H38" s="11" t="inlineStr">
        <is>
          <t>Multiplier</t>
        </is>
      </c>
      <c r="I38" s="11" t="inlineStr">
        <is>
          <t>Mult. Val.</t>
        </is>
      </c>
      <c r="J38" s="15">
        <f>D38*F38*H38</f>
        <v/>
      </c>
    </row>
    <row r="39">
      <c r="B39" s="5" t="n">
        <v>1</v>
      </c>
      <c r="C39" s="5" t="n"/>
      <c r="D39" s="5" t="n"/>
      <c r="E39" s="8" t="n"/>
      <c r="F39" s="5" t="n"/>
      <c r="G39" s="5" t="n"/>
      <c r="H39" s="5" t="n"/>
      <c r="I39" s="5" t="n"/>
      <c r="J39" s="8">
        <f>D39*F39*H39</f>
        <v/>
      </c>
    </row>
    <row r="40">
      <c r="B40" s="5" t="n">
        <v>2</v>
      </c>
      <c r="C40" s="5" t="n"/>
      <c r="D40" s="5" t="n"/>
      <c r="E40" s="8" t="n"/>
      <c r="F40" s="5" t="n"/>
      <c r="G40" s="5" t="n"/>
      <c r="H40" s="5" t="n"/>
      <c r="I40" s="5" t="n"/>
      <c r="J40" s="8">
        <f>D40*F40*H40</f>
        <v/>
      </c>
    </row>
    <row r="41">
      <c r="B41" s="5" t="n">
        <v>3</v>
      </c>
      <c r="C41" s="5" t="n"/>
      <c r="D41" s="5" t="n"/>
      <c r="E41" s="8" t="n"/>
      <c r="F41" s="5" t="n"/>
      <c r="G41" s="5" t="n"/>
      <c r="H41" s="5" t="n"/>
      <c r="I41" s="5" t="n"/>
      <c r="J41" s="8">
        <f>D41*F41*H41</f>
        <v/>
      </c>
    </row>
    <row r="42">
      <c r="B42" s="5" t="n">
        <v>4</v>
      </c>
      <c r="C42" s="5" t="n"/>
      <c r="D42" s="5" t="n"/>
      <c r="E42" s="8" t="n"/>
      <c r="F42" s="5" t="n"/>
      <c r="G42" s="5" t="n"/>
      <c r="H42" s="5" t="n"/>
      <c r="I42" s="5" t="n"/>
      <c r="J42" s="8">
        <f>D42*F42*H42</f>
        <v/>
      </c>
    </row>
    <row r="43">
      <c r="B43" s="5" t="n">
        <v>5</v>
      </c>
      <c r="C43" s="5" t="n"/>
      <c r="D43" s="5" t="n"/>
      <c r="E43" s="8" t="n"/>
      <c r="F43" s="5" t="n"/>
      <c r="G43" s="5" t="n"/>
      <c r="H43" s="5" t="n"/>
      <c r="I43" s="5" t="n"/>
      <c r="J43" s="8">
        <f>D43*F43*H43</f>
        <v/>
      </c>
    </row>
    <row r="44">
      <c r="B44" s="5" t="n">
        <v>6</v>
      </c>
      <c r="C44" s="5" t="n"/>
      <c r="D44" s="5" t="n"/>
      <c r="E44" s="8" t="n"/>
      <c r="F44" s="5" t="n"/>
      <c r="G44" s="5" t="n"/>
      <c r="H44" s="5" t="n"/>
      <c r="I44" s="5" t="n"/>
      <c r="J44" s="8" t="n"/>
    </row>
    <row r="45" ht="20" customHeight="1">
      <c r="B45" s="5" t="n">
        <v>7</v>
      </c>
      <c r="C45" s="5" t="n"/>
      <c r="D45" s="5" t="n"/>
      <c r="E45" s="8" t="n"/>
      <c r="F45" s="5" t="n"/>
      <c r="G45" s="5" t="n"/>
      <c r="H45" s="5" t="n"/>
      <c r="I45" s="5" t="n"/>
      <c r="J45" s="8" t="n"/>
    </row>
    <row r="46">
      <c r="B46" s="5" t="n">
        <v>8</v>
      </c>
      <c r="C46" s="5" t="n"/>
      <c r="D46" s="5" t="n"/>
      <c r="E46" s="8" t="n"/>
      <c r="F46" s="5" t="n"/>
      <c r="G46" s="5" t="n"/>
      <c r="H46" s="5" t="n"/>
      <c r="I46" s="5" t="n"/>
      <c r="J46" s="8" t="n"/>
      <c r="K46" s="9">
        <f>D46*I46</f>
        <v/>
      </c>
    </row>
    <row r="47">
      <c r="B47" s="5" t="n">
        <v>9</v>
      </c>
      <c r="C47" s="5" t="n"/>
      <c r="D47" s="5" t="n"/>
      <c r="E47" s="8" t="n"/>
      <c r="F47" s="5" t="n"/>
      <c r="G47" s="5" t="n"/>
      <c r="H47" s="5" t="n"/>
      <c r="I47" s="5" t="n"/>
      <c r="J47" s="8" t="n"/>
      <c r="K47" s="9">
        <f>D47*I47</f>
        <v/>
      </c>
    </row>
    <row r="48">
      <c r="B48" s="5" t="n">
        <v>10</v>
      </c>
      <c r="C48" s="5" t="n"/>
      <c r="D48" s="5" t="n"/>
      <c r="E48" s="8" t="n"/>
      <c r="F48" s="5" t="n"/>
      <c r="G48" s="5" t="n"/>
      <c r="H48" s="5" t="n"/>
      <c r="I48" s="5" t="n"/>
      <c r="J48" s="8" t="n"/>
      <c r="K48" s="9">
        <f>D48*I48</f>
        <v/>
      </c>
    </row>
    <row r="49">
      <c r="K49" s="9">
        <f>D49*I49</f>
        <v/>
      </c>
    </row>
    <row r="50">
      <c r="B50" s="10" t="inlineStr">
        <is>
          <t>Fasteners</t>
        </is>
      </c>
      <c r="K50" s="9">
        <f>D50*I50</f>
        <v/>
      </c>
    </row>
    <row r="51">
      <c r="B51" s="11" t="inlineStr">
        <is>
          <t>ItemOrder</t>
        </is>
      </c>
      <c r="C51" s="11" t="inlineStr">
        <is>
          <t>Fastener</t>
        </is>
      </c>
      <c r="D51" s="11" t="inlineStr">
        <is>
          <t>Use</t>
        </is>
      </c>
      <c r="E51" s="11" t="inlineStr">
        <is>
          <t>UnitCost</t>
        </is>
      </c>
      <c r="F51" s="11" t="inlineStr">
        <is>
          <t>Size1</t>
        </is>
      </c>
      <c r="G51" s="11" t="inlineStr">
        <is>
          <t>Unit1</t>
        </is>
      </c>
      <c r="H51" s="11" t="inlineStr">
        <is>
          <t>Size2</t>
        </is>
      </c>
      <c r="I51" s="11" t="inlineStr">
        <is>
          <t>Unit2</t>
        </is>
      </c>
      <c r="J51" s="11" t="inlineStr">
        <is>
          <t>Quantity</t>
        </is>
      </c>
      <c r="K51" s="15">
        <f>D51*I51</f>
        <v/>
      </c>
    </row>
    <row r="52">
      <c r="B52" s="5" t="n">
        <v>1</v>
      </c>
      <c r="C52" s="5" t="n"/>
      <c r="D52" s="5" t="n"/>
      <c r="E52" s="8" t="n"/>
      <c r="F52" s="5" t="n"/>
      <c r="G52" s="5" t="n"/>
      <c r="H52" s="5" t="n"/>
      <c r="I52" s="5" t="n"/>
      <c r="J52" s="5" t="n"/>
      <c r="K52" s="8">
        <f>D52*I52</f>
        <v/>
      </c>
    </row>
    <row r="53">
      <c r="B53" s="5" t="n">
        <v>2</v>
      </c>
      <c r="C53" s="5" t="n"/>
      <c r="D53" s="5" t="n"/>
      <c r="E53" s="8" t="n"/>
      <c r="F53" s="5" t="n"/>
      <c r="G53" s="5" t="n"/>
      <c r="H53" s="5" t="n"/>
      <c r="I53" s="5" t="n"/>
      <c r="J53" s="5" t="n"/>
      <c r="K53" s="8">
        <f>D53*I53</f>
        <v/>
      </c>
    </row>
    <row r="54">
      <c r="B54" s="5" t="n">
        <v>3</v>
      </c>
      <c r="C54" s="5" t="n"/>
      <c r="D54" s="5" t="n"/>
      <c r="E54" s="8" t="n"/>
      <c r="F54" s="5" t="n"/>
      <c r="G54" s="5" t="n"/>
      <c r="H54" s="5" t="n"/>
      <c r="I54" s="5" t="n"/>
      <c r="J54" s="5" t="n"/>
      <c r="K54" s="8">
        <f>D54*I54</f>
        <v/>
      </c>
    </row>
    <row r="55">
      <c r="B55" s="5" t="n">
        <v>4</v>
      </c>
      <c r="C55" s="5" t="n"/>
      <c r="D55" s="5" t="n"/>
      <c r="E55" s="8" t="n"/>
      <c r="F55" s="5" t="n"/>
      <c r="G55" s="5" t="n"/>
      <c r="H55" s="5" t="n"/>
      <c r="I55" s="5" t="n"/>
      <c r="J55" s="5" t="n"/>
      <c r="K55" s="8">
        <f>D55*I55</f>
        <v/>
      </c>
    </row>
    <row r="56">
      <c r="B56" s="5" t="n">
        <v>5</v>
      </c>
      <c r="C56" s="5" t="n"/>
      <c r="D56" s="5" t="n"/>
      <c r="E56" s="8" t="n"/>
      <c r="F56" s="5" t="n"/>
      <c r="G56" s="5" t="n"/>
      <c r="H56" s="5" t="n"/>
      <c r="I56" s="5" t="n"/>
      <c r="J56" s="5" t="n"/>
      <c r="K56" s="8" t="n"/>
    </row>
    <row r="57" ht="20" customHeight="1">
      <c r="B57" s="5" t="n">
        <v>6</v>
      </c>
      <c r="C57" s="5" t="n"/>
      <c r="D57" s="5" t="n"/>
      <c r="E57" s="8" t="n"/>
      <c r="F57" s="5" t="n"/>
      <c r="G57" s="5" t="n"/>
      <c r="H57" s="5" t="n"/>
      <c r="I57" s="5" t="n"/>
      <c r="J57" s="5" t="n"/>
      <c r="K57" s="8" t="n"/>
    </row>
    <row r="58">
      <c r="B58" s="5" t="n">
        <v>7</v>
      </c>
      <c r="C58" s="5" t="n"/>
      <c r="D58" s="5" t="n"/>
      <c r="E58" s="8" t="n"/>
      <c r="F58" s="5" t="n"/>
      <c r="G58" s="5" t="n"/>
      <c r="H58" s="5" t="n"/>
      <c r="I58" s="5" t="n"/>
      <c r="J58" s="8">
        <f>D58*F58*G58*H58</f>
        <v/>
      </c>
      <c r="K58" s="8" t="n"/>
    </row>
    <row r="59">
      <c r="B59" s="5" t="n">
        <v>8</v>
      </c>
      <c r="C59" s="5" t="n"/>
      <c r="D59" s="5" t="n"/>
      <c r="E59" s="8" t="n"/>
      <c r="F59" s="5" t="n"/>
      <c r="G59" s="5" t="n"/>
      <c r="H59" s="5" t="n"/>
      <c r="I59" s="5" t="n"/>
      <c r="J59" s="8">
        <f>D59*F59*G59*H59</f>
        <v/>
      </c>
      <c r="K59" s="8" t="n"/>
    </row>
    <row r="60">
      <c r="B60" s="5" t="n">
        <v>9</v>
      </c>
      <c r="C60" s="5" t="n"/>
      <c r="D60" s="5" t="n"/>
      <c r="E60" s="8" t="n"/>
      <c r="F60" s="5" t="n"/>
      <c r="G60" s="5" t="n"/>
      <c r="H60" s="5" t="n"/>
      <c r="I60" s="5" t="n"/>
      <c r="J60" s="8">
        <f>D60*F60*G60*H60</f>
        <v/>
      </c>
      <c r="K60" s="8" t="n"/>
    </row>
    <row r="61">
      <c r="B61" s="5" t="n">
        <v>10</v>
      </c>
      <c r="C61" s="5" t="n"/>
      <c r="D61" s="5" t="n"/>
      <c r="E61" s="8" t="n"/>
      <c r="F61" s="5" t="n"/>
      <c r="G61" s="5" t="n"/>
      <c r="H61" s="5" t="n"/>
      <c r="I61" s="5" t="n"/>
      <c r="J61" s="8">
        <f>D61*F61*G61*H61</f>
        <v/>
      </c>
      <c r="K61" s="8" t="n"/>
    </row>
    <row r="62">
      <c r="J62" s="9">
        <f>D62*F62*G62*H62</f>
        <v/>
      </c>
    </row>
    <row r="63">
      <c r="B63" s="10" t="inlineStr">
        <is>
          <t>Tooling</t>
        </is>
      </c>
    </row>
    <row r="64">
      <c r="B64" s="11" t="inlineStr">
        <is>
          <t>ItemOrder</t>
        </is>
      </c>
      <c r="C64" s="11" t="inlineStr">
        <is>
          <t>Tooling</t>
        </is>
      </c>
      <c r="D64" s="11" t="inlineStr">
        <is>
          <t>Use</t>
        </is>
      </c>
      <c r="E64" s="11" t="inlineStr">
        <is>
          <t>UnitCost</t>
        </is>
      </c>
      <c r="F64" s="11" t="inlineStr">
        <is>
          <t>Unit</t>
        </is>
      </c>
      <c r="G64" s="11" t="inlineStr">
        <is>
          <t>Quantity</t>
        </is>
      </c>
      <c r="H64" s="11" t="inlineStr">
        <is>
          <t>PVF</t>
        </is>
      </c>
      <c r="I64" s="11" t="inlineStr">
        <is>
          <t>FractionIncluded</t>
        </is>
      </c>
      <c r="J64" s="11" t="inlineStr">
        <is>
          <t>Sub Total</t>
        </is>
      </c>
    </row>
    <row r="65">
      <c r="B65" s="5" t="n">
        <v>1</v>
      </c>
      <c r="C65" s="5" t="n"/>
      <c r="D65" s="5" t="n"/>
      <c r="E65" s="8" t="n"/>
      <c r="F65" s="5" t="n"/>
      <c r="G65" s="5" t="n"/>
      <c r="H65" s="5" t="n"/>
      <c r="I65" s="5" t="n"/>
      <c r="J65" s="8" t="n"/>
    </row>
    <row r="66">
      <c r="B66" s="5" t="n">
        <v>2</v>
      </c>
      <c r="C66" s="5" t="n"/>
      <c r="D66" s="5" t="n"/>
      <c r="E66" s="8" t="n"/>
      <c r="F66" s="5" t="n"/>
      <c r="G66" s="5" t="n"/>
      <c r="H66" s="5" t="n"/>
      <c r="I66" s="5" t="n"/>
      <c r="J66" s="8" t="n"/>
    </row>
    <row r="67">
      <c r="B67" s="5" t="n">
        <v>3</v>
      </c>
      <c r="C67" s="5" t="n"/>
      <c r="D67" s="5" t="n"/>
      <c r="E67" s="8" t="n"/>
      <c r="F67" s="5" t="n"/>
      <c r="G67" s="5" t="n"/>
      <c r="H67" s="5" t="n"/>
      <c r="I67" s="5" t="n"/>
      <c r="J67" s="8" t="n"/>
    </row>
    <row r="68">
      <c r="B68" s="5" t="n">
        <v>4</v>
      </c>
      <c r="C68" s="5" t="n"/>
      <c r="D68" s="5" t="n"/>
      <c r="E68" s="8" t="n"/>
      <c r="F68" s="5" t="n"/>
      <c r="G68" s="5" t="n"/>
      <c r="H68" s="5" t="n"/>
      <c r="I68" s="5" t="n"/>
      <c r="J68" s="8" t="n"/>
    </row>
    <row r="69">
      <c r="B69" s="5" t="n">
        <v>5</v>
      </c>
      <c r="C69" s="5" t="n"/>
      <c r="D69" s="5" t="n"/>
      <c r="E69" s="8" t="n"/>
      <c r="F69" s="5" t="n"/>
      <c r="G69" s="5" t="n"/>
      <c r="H69" s="5" t="n"/>
      <c r="I69" s="5" t="n"/>
      <c r="J69" s="8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0"/>
  <mergeCells count="1">
    <mergeCell ref="C7:H7"/>
  </mergeCells>
  <conditionalFormatting sqref="C10:C20">
    <cfRule type="cellIs" priority="1" operator="equal" dxfId="0" stopIfTrue="1">
      <formula>""</formula>
    </cfRule>
  </conditionalFormatting>
  <conditionalFormatting sqref="D10:D20">
    <cfRule type="expression" priority="2" dxfId="1" stopIfTrue="1">
      <formula>AND(C10&lt;&gt;"", D10="")</formula>
    </cfRule>
  </conditionalFormatting>
  <conditionalFormatting sqref="C22:C32">
    <cfRule type="cellIs" priority="3" operator="equal" dxfId="0" stopIfTrue="1">
      <formula>""</formula>
    </cfRule>
  </conditionalFormatting>
  <conditionalFormatting sqref="C34:C44">
    <cfRule type="cellIs" priority="4" operator="equal" dxfId="0" stopIfTrue="1">
      <formula>""</formula>
    </cfRule>
  </conditionalFormatting>
  <conditionalFormatting sqref="C46:C56">
    <cfRule type="cellIs" priority="5" operator="equal" dxfId="1" stopIfTrue="1">
      <formula>""</formula>
    </cfRule>
  </conditionalFormatting>
  <conditionalFormatting sqref="C58:C63">
    <cfRule type="cellIs" priority="6" operator="equal" dxfId="1" stopIfTrue="1">
      <formula>""</formula>
    </cfRule>
  </conditionalFormatting>
  <pageMargins left="0.5" right="0.5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2" max="2"/>
    <col width="25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B1" s="2" t="inlineStr">
        <is>
          <t>University:</t>
        </is>
      </c>
      <c r="C1" t="inlineStr">
        <is>
          <t>Ajeenkya DY Patil University</t>
        </is>
      </c>
    </row>
    <row r="2">
      <c r="B2" s="2" t="inlineStr">
        <is>
          <t>Team Name:</t>
        </is>
      </c>
      <c r="C2" t="inlineStr">
        <is>
          <t>Javitron</t>
        </is>
      </c>
    </row>
    <row r="3">
      <c r="B3" s="2" t="inlineStr">
        <is>
          <t>System:</t>
        </is>
      </c>
      <c r="C3" t="inlineStr">
        <is>
          <t>Suspension</t>
        </is>
      </c>
    </row>
    <row r="4">
      <c r="B4" s="2" t="inlineStr">
        <is>
          <t>Assembly:</t>
        </is>
      </c>
    </row>
    <row r="5">
      <c r="B5" s="2" t="inlineStr">
        <is>
          <t>P/N Base:</t>
        </is>
      </c>
      <c r="C5" t="inlineStr">
        <is>
          <t>SU-XX-001</t>
        </is>
      </c>
    </row>
    <row r="6">
      <c r="B6" s="2" t="inlineStr">
        <is>
          <t>Suffix:</t>
        </is>
      </c>
    </row>
    <row r="7">
      <c r="B7" s="2" t="inlineStr">
        <is>
          <t>Details:</t>
        </is>
      </c>
    </row>
    <row r="8"/>
    <row r="9" ht="20" customHeight="1">
      <c r="B9" s="2" t="inlineStr">
        <is>
          <t>Car #:</t>
        </is>
      </c>
      <c r="D9" s="2" t="inlineStr">
        <is>
          <t>Asm Cost:</t>
        </is>
      </c>
      <c r="E9" s="9">
        <f>0</f>
        <v/>
      </c>
      <c r="F9" s="2" t="inlineStr">
        <is>
          <t>Qty:</t>
        </is>
      </c>
      <c r="G9" t="inlineStr">
        <is>
          <t>1</t>
        </is>
      </c>
      <c r="H9" s="2" t="inlineStr">
        <is>
          <t>Extended Cost:</t>
        </is>
      </c>
      <c r="I9" s="9">
        <f>E*G</f>
        <v/>
      </c>
    </row>
    <row r="10">
      <c r="F10" s="9">
        <f>D10*E10</f>
        <v/>
      </c>
    </row>
    <row r="11">
      <c r="B11" s="10" t="inlineStr">
        <is>
          <t>Parts</t>
        </is>
      </c>
      <c r="F11" s="9">
        <f>D11*E11</f>
        <v/>
      </c>
    </row>
    <row r="12">
      <c r="B12" s="4" t="inlineStr">
        <is>
          <t>ItemOrder</t>
        </is>
      </c>
      <c r="C12" s="4" t="inlineStr">
        <is>
          <t>Part</t>
        </is>
      </c>
      <c r="D12" s="4" t="inlineStr">
        <is>
          <t>Part Cost</t>
        </is>
      </c>
      <c r="E12" s="4" t="inlineStr">
        <is>
          <t>Quantity</t>
        </is>
      </c>
      <c r="F12" s="14">
        <f>D12*E12</f>
        <v/>
      </c>
    </row>
    <row r="13">
      <c r="B13" s="5" t="n">
        <v>1</v>
      </c>
      <c r="C13" s="5" t="n"/>
      <c r="D13" s="5" t="n"/>
      <c r="E13" s="8" t="n"/>
      <c r="F13" s="8">
        <f>D13*E13</f>
        <v/>
      </c>
    </row>
    <row r="14">
      <c r="B14" s="5" t="n">
        <v>2</v>
      </c>
      <c r="C14" s="5" t="n"/>
      <c r="D14" s="5" t="n"/>
      <c r="E14" s="8" t="n"/>
      <c r="F14" s="8">
        <f>D14*E14</f>
        <v/>
      </c>
    </row>
    <row r="15">
      <c r="B15" s="5" t="n">
        <v>3</v>
      </c>
      <c r="C15" s="5" t="n"/>
      <c r="D15" s="5" t="n"/>
      <c r="E15" s="8" t="n"/>
      <c r="F15" s="8">
        <f>D15*E15</f>
        <v/>
      </c>
    </row>
    <row r="16">
      <c r="B16" s="5" t="n">
        <v>4</v>
      </c>
      <c r="C16" s="5" t="n"/>
      <c r="D16" s="5" t="n"/>
      <c r="E16" s="8" t="n"/>
      <c r="F16" s="8">
        <f>D16*E16</f>
        <v/>
      </c>
    </row>
    <row r="17">
      <c r="B17" s="5" t="n">
        <v>5</v>
      </c>
      <c r="C17" s="5" t="n"/>
      <c r="D17" s="5" t="n"/>
      <c r="E17" s="8" t="n"/>
      <c r="F17" s="8">
        <f>D17*E17</f>
        <v/>
      </c>
    </row>
    <row r="18">
      <c r="B18" s="5" t="n">
        <v>6</v>
      </c>
      <c r="C18" s="5" t="n"/>
      <c r="D18" s="5" t="n"/>
      <c r="E18" s="8" t="n"/>
      <c r="F18" s="8">
        <f>D18*E18</f>
        <v/>
      </c>
    </row>
    <row r="19">
      <c r="B19" s="5" t="n">
        <v>7</v>
      </c>
      <c r="C19" s="5" t="n"/>
      <c r="D19" s="5" t="n"/>
      <c r="E19" s="8" t="n"/>
      <c r="F19" s="8">
        <f>D19*E19</f>
        <v/>
      </c>
    </row>
    <row r="20">
      <c r="B20" s="5" t="n">
        <v>8</v>
      </c>
      <c r="C20" s="5" t="n"/>
      <c r="D20" s="5" t="n"/>
      <c r="E20" s="8" t="n"/>
      <c r="F20" s="8" t="n"/>
    </row>
    <row r="21" ht="20" customHeight="1">
      <c r="B21" s="5" t="n">
        <v>9</v>
      </c>
      <c r="C21" s="5" t="n"/>
      <c r="D21" s="5" t="n"/>
      <c r="E21" s="8" t="n"/>
      <c r="F21" s="8" t="n"/>
    </row>
    <row r="22">
      <c r="B22" s="5" t="n">
        <v>10</v>
      </c>
      <c r="C22" s="5" t="n"/>
      <c r="D22" s="5" t="n"/>
      <c r="E22" s="8" t="n"/>
      <c r="F22" s="8" t="n"/>
      <c r="O22" s="9">
        <f>D22*M22</f>
        <v/>
      </c>
    </row>
    <row r="23">
      <c r="O23" s="9">
        <f>D23*M23</f>
        <v/>
      </c>
    </row>
    <row r="24">
      <c r="B24" s="10" t="inlineStr">
        <is>
          <t>Materials</t>
        </is>
      </c>
      <c r="O24" s="9">
        <f>D24*M24</f>
        <v/>
      </c>
    </row>
    <row r="25">
      <c r="B25" s="11" t="inlineStr">
        <is>
          <t>ItemOrder</t>
        </is>
      </c>
      <c r="C25" s="11" t="inlineStr">
        <is>
          <t>Material</t>
        </is>
      </c>
      <c r="D25" s="11" t="inlineStr">
        <is>
          <t>Use</t>
        </is>
      </c>
      <c r="E25" s="11" t="inlineStr">
        <is>
          <t>UnitCost</t>
        </is>
      </c>
      <c r="F25" s="11" t="inlineStr">
        <is>
          <t>Unit</t>
        </is>
      </c>
      <c r="G25" s="11" t="inlineStr">
        <is>
          <t>Size1</t>
        </is>
      </c>
      <c r="H25" s="11" t="inlineStr">
        <is>
          <t>Unit1</t>
        </is>
      </c>
      <c r="I25" s="11" t="inlineStr">
        <is>
          <t>Size2</t>
        </is>
      </c>
      <c r="J25" s="11" t="inlineStr">
        <is>
          <t>Unit2</t>
        </is>
      </c>
      <c r="K25" s="11" t="inlineStr">
        <is>
          <t>Area</t>
        </is>
      </c>
      <c r="L25" s="11" t="inlineStr">
        <is>
          <t>Length</t>
        </is>
      </c>
      <c r="M25" s="11" t="inlineStr">
        <is>
          <t>Density</t>
        </is>
      </c>
      <c r="N25" s="11" t="inlineStr">
        <is>
          <t>Quantity</t>
        </is>
      </c>
      <c r="O25" s="15">
        <f>D25*M25</f>
        <v/>
      </c>
    </row>
    <row r="26">
      <c r="B26" s="5" t="n">
        <v>1</v>
      </c>
      <c r="C26" s="5" t="n"/>
      <c r="D26" s="5" t="n"/>
      <c r="E26" s="8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8">
        <f>D26*M26</f>
        <v/>
      </c>
    </row>
    <row r="27">
      <c r="B27" s="5" t="n">
        <v>2</v>
      </c>
      <c r="C27" s="5" t="n"/>
      <c r="D27" s="5" t="n"/>
      <c r="E27" s="8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8">
        <f>D27*M27</f>
        <v/>
      </c>
    </row>
    <row r="28">
      <c r="B28" s="5" t="n">
        <v>3</v>
      </c>
      <c r="C28" s="5" t="n"/>
      <c r="D28" s="5" t="n"/>
      <c r="E28" s="8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8">
        <f>D28*M28</f>
        <v/>
      </c>
    </row>
    <row r="29">
      <c r="B29" s="5" t="n">
        <v>4</v>
      </c>
      <c r="C29" s="5" t="n"/>
      <c r="D29" s="5" t="n"/>
      <c r="E29" s="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8">
        <f>D29*M29</f>
        <v/>
      </c>
    </row>
    <row r="30">
      <c r="B30" s="5" t="n">
        <v>5</v>
      </c>
      <c r="C30" s="5" t="n"/>
      <c r="D30" s="5" t="n"/>
      <c r="E30" s="8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8">
        <f>D30*M30</f>
        <v/>
      </c>
    </row>
    <row r="31">
      <c r="B31" s="5" t="n">
        <v>6</v>
      </c>
      <c r="C31" s="5" t="n"/>
      <c r="D31" s="5" t="n"/>
      <c r="E31" s="8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8">
        <f>D31*M31</f>
        <v/>
      </c>
    </row>
    <row r="32">
      <c r="B32" s="5" t="n">
        <v>7</v>
      </c>
      <c r="C32" s="5" t="n"/>
      <c r="D32" s="5" t="n"/>
      <c r="E32" s="8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8" t="n"/>
    </row>
    <row r="33" ht="20" customHeight="1">
      <c r="B33" s="5" t="n">
        <v>8</v>
      </c>
      <c r="C33" s="5" t="n"/>
      <c r="D33" s="5" t="n"/>
      <c r="E33" s="8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8" t="n"/>
    </row>
    <row r="34">
      <c r="B34" s="5" t="n">
        <v>9</v>
      </c>
      <c r="C34" s="5" t="n"/>
      <c r="D34" s="5" t="n"/>
      <c r="E34" s="8" t="n"/>
      <c r="F34" s="5" t="n"/>
      <c r="G34" s="5" t="n"/>
      <c r="H34" s="5" t="n"/>
      <c r="I34" s="5" t="n"/>
      <c r="J34" s="8">
        <f>D34*F34*H34</f>
        <v/>
      </c>
      <c r="K34" s="5" t="n"/>
      <c r="L34" s="5" t="n"/>
      <c r="M34" s="5" t="n"/>
      <c r="N34" s="5" t="n"/>
      <c r="O34" s="8" t="n"/>
    </row>
    <row r="35">
      <c r="B35" s="5" t="n">
        <v>10</v>
      </c>
      <c r="C35" s="5" t="n"/>
      <c r="D35" s="5" t="n"/>
      <c r="E35" s="8" t="n"/>
      <c r="F35" s="5" t="n"/>
      <c r="G35" s="5" t="n"/>
      <c r="H35" s="5" t="n"/>
      <c r="I35" s="5" t="n"/>
      <c r="J35" s="8">
        <f>D35*F35*H35</f>
        <v/>
      </c>
      <c r="K35" s="5" t="n"/>
      <c r="L35" s="5" t="n"/>
      <c r="M35" s="5" t="n"/>
      <c r="N35" s="5" t="n"/>
      <c r="O35" s="8" t="n"/>
    </row>
    <row r="36">
      <c r="J36" s="9">
        <f>D36*F36*H36</f>
        <v/>
      </c>
    </row>
    <row r="37">
      <c r="B37" s="10" t="inlineStr">
        <is>
          <t>Processes</t>
        </is>
      </c>
      <c r="J37" s="9">
        <f>D37*F37*H37</f>
        <v/>
      </c>
    </row>
    <row r="38">
      <c r="B38" s="11" t="inlineStr">
        <is>
          <t>ItemOrder</t>
        </is>
      </c>
      <c r="C38" s="11" t="inlineStr">
        <is>
          <t>Process</t>
        </is>
      </c>
      <c r="D38" s="11" t="inlineStr">
        <is>
          <t>Use</t>
        </is>
      </c>
      <c r="E38" s="11" t="inlineStr">
        <is>
          <t>UnitCost</t>
        </is>
      </c>
      <c r="F38" s="11" t="inlineStr">
        <is>
          <t>Unit</t>
        </is>
      </c>
      <c r="G38" s="11" t="inlineStr">
        <is>
          <t>Quantity</t>
        </is>
      </c>
      <c r="H38" s="11" t="inlineStr">
        <is>
          <t>Multiplier</t>
        </is>
      </c>
      <c r="I38" s="11" t="inlineStr">
        <is>
          <t>Mult. Val.</t>
        </is>
      </c>
      <c r="J38" s="15">
        <f>D38*F38*H38</f>
        <v/>
      </c>
    </row>
    <row r="39">
      <c r="B39" s="5" t="n">
        <v>1</v>
      </c>
      <c r="C39" s="5" t="n"/>
      <c r="D39" s="5" t="n"/>
      <c r="E39" s="8" t="n"/>
      <c r="F39" s="5" t="n"/>
      <c r="G39" s="5" t="n"/>
      <c r="H39" s="5" t="n"/>
      <c r="I39" s="5" t="n"/>
      <c r="J39" s="8">
        <f>D39*F39*H39</f>
        <v/>
      </c>
    </row>
    <row r="40">
      <c r="B40" s="5" t="n">
        <v>2</v>
      </c>
      <c r="C40" s="5" t="n"/>
      <c r="D40" s="5" t="n"/>
      <c r="E40" s="8" t="n"/>
      <c r="F40" s="5" t="n"/>
      <c r="G40" s="5" t="n"/>
      <c r="H40" s="5" t="n"/>
      <c r="I40" s="5" t="n"/>
      <c r="J40" s="8">
        <f>D40*F40*H40</f>
        <v/>
      </c>
    </row>
    <row r="41">
      <c r="B41" s="5" t="n">
        <v>3</v>
      </c>
      <c r="C41" s="5" t="n"/>
      <c r="D41" s="5" t="n"/>
      <c r="E41" s="8" t="n"/>
      <c r="F41" s="5" t="n"/>
      <c r="G41" s="5" t="n"/>
      <c r="H41" s="5" t="n"/>
      <c r="I41" s="5" t="n"/>
      <c r="J41" s="8">
        <f>D41*F41*H41</f>
        <v/>
      </c>
    </row>
    <row r="42">
      <c r="B42" s="5" t="n">
        <v>4</v>
      </c>
      <c r="C42" s="5" t="n"/>
      <c r="D42" s="5" t="n"/>
      <c r="E42" s="8" t="n"/>
      <c r="F42" s="5" t="n"/>
      <c r="G42" s="5" t="n"/>
      <c r="H42" s="5" t="n"/>
      <c r="I42" s="5" t="n"/>
      <c r="J42" s="8">
        <f>D42*F42*H42</f>
        <v/>
      </c>
    </row>
    <row r="43">
      <c r="B43" s="5" t="n">
        <v>5</v>
      </c>
      <c r="C43" s="5" t="n"/>
      <c r="D43" s="5" t="n"/>
      <c r="E43" s="8" t="n"/>
      <c r="F43" s="5" t="n"/>
      <c r="G43" s="5" t="n"/>
      <c r="H43" s="5" t="n"/>
      <c r="I43" s="5" t="n"/>
      <c r="J43" s="8">
        <f>D43*F43*H43</f>
        <v/>
      </c>
    </row>
    <row r="44">
      <c r="B44" s="5" t="n">
        <v>6</v>
      </c>
      <c r="C44" s="5" t="n"/>
      <c r="D44" s="5" t="n"/>
      <c r="E44" s="8" t="n"/>
      <c r="F44" s="5" t="n"/>
      <c r="G44" s="5" t="n"/>
      <c r="H44" s="5" t="n"/>
      <c r="I44" s="5" t="n"/>
      <c r="J44" s="8" t="n"/>
    </row>
    <row r="45" ht="20" customHeight="1">
      <c r="B45" s="5" t="n">
        <v>7</v>
      </c>
      <c r="C45" s="5" t="n"/>
      <c r="D45" s="5" t="n"/>
      <c r="E45" s="8" t="n"/>
      <c r="F45" s="5" t="n"/>
      <c r="G45" s="5" t="n"/>
      <c r="H45" s="5" t="n"/>
      <c r="I45" s="5" t="n"/>
      <c r="J45" s="8" t="n"/>
    </row>
    <row r="46">
      <c r="B46" s="5" t="n">
        <v>8</v>
      </c>
      <c r="C46" s="5" t="n"/>
      <c r="D46" s="5" t="n"/>
      <c r="E46" s="8" t="n"/>
      <c r="F46" s="5" t="n"/>
      <c r="G46" s="5" t="n"/>
      <c r="H46" s="5" t="n"/>
      <c r="I46" s="5" t="n"/>
      <c r="J46" s="8" t="n"/>
      <c r="K46" s="9">
        <f>D46*I46</f>
        <v/>
      </c>
    </row>
    <row r="47">
      <c r="B47" s="5" t="n">
        <v>9</v>
      </c>
      <c r="C47" s="5" t="n"/>
      <c r="D47" s="5" t="n"/>
      <c r="E47" s="8" t="n"/>
      <c r="F47" s="5" t="n"/>
      <c r="G47" s="5" t="n"/>
      <c r="H47" s="5" t="n"/>
      <c r="I47" s="5" t="n"/>
      <c r="J47" s="8" t="n"/>
      <c r="K47" s="9">
        <f>D47*I47</f>
        <v/>
      </c>
    </row>
    <row r="48">
      <c r="B48" s="5" t="n">
        <v>10</v>
      </c>
      <c r="C48" s="5" t="n"/>
      <c r="D48" s="5" t="n"/>
      <c r="E48" s="8" t="n"/>
      <c r="F48" s="5" t="n"/>
      <c r="G48" s="5" t="n"/>
      <c r="H48" s="5" t="n"/>
      <c r="I48" s="5" t="n"/>
      <c r="J48" s="8" t="n"/>
      <c r="K48" s="9">
        <f>D48*I48</f>
        <v/>
      </c>
    </row>
    <row r="49">
      <c r="K49" s="9">
        <f>D49*I49</f>
        <v/>
      </c>
    </row>
    <row r="50">
      <c r="B50" s="10" t="inlineStr">
        <is>
          <t>Fasteners</t>
        </is>
      </c>
      <c r="K50" s="9">
        <f>D50*I50</f>
        <v/>
      </c>
    </row>
    <row r="51">
      <c r="B51" s="11" t="inlineStr">
        <is>
          <t>ItemOrder</t>
        </is>
      </c>
      <c r="C51" s="11" t="inlineStr">
        <is>
          <t>Fastener</t>
        </is>
      </c>
      <c r="D51" s="11" t="inlineStr">
        <is>
          <t>Use</t>
        </is>
      </c>
      <c r="E51" s="11" t="inlineStr">
        <is>
          <t>UnitCost</t>
        </is>
      </c>
      <c r="F51" s="11" t="inlineStr">
        <is>
          <t>Size1</t>
        </is>
      </c>
      <c r="G51" s="11" t="inlineStr">
        <is>
          <t>Unit1</t>
        </is>
      </c>
      <c r="H51" s="11" t="inlineStr">
        <is>
          <t>Size2</t>
        </is>
      </c>
      <c r="I51" s="11" t="inlineStr">
        <is>
          <t>Unit2</t>
        </is>
      </c>
      <c r="J51" s="11" t="inlineStr">
        <is>
          <t>Quantity</t>
        </is>
      </c>
      <c r="K51" s="15">
        <f>D51*I51</f>
        <v/>
      </c>
    </row>
    <row r="52">
      <c r="B52" s="5" t="n">
        <v>1</v>
      </c>
      <c r="C52" s="5" t="n"/>
      <c r="D52" s="5" t="n"/>
      <c r="E52" s="8" t="n"/>
      <c r="F52" s="5" t="n"/>
      <c r="G52" s="5" t="n"/>
      <c r="H52" s="5" t="n"/>
      <c r="I52" s="5" t="n"/>
      <c r="J52" s="5" t="n"/>
      <c r="K52" s="8">
        <f>D52*I52</f>
        <v/>
      </c>
    </row>
    <row r="53">
      <c r="B53" s="5" t="n">
        <v>2</v>
      </c>
      <c r="C53" s="5" t="n"/>
      <c r="D53" s="5" t="n"/>
      <c r="E53" s="8" t="n"/>
      <c r="F53" s="5" t="n"/>
      <c r="G53" s="5" t="n"/>
      <c r="H53" s="5" t="n"/>
      <c r="I53" s="5" t="n"/>
      <c r="J53" s="5" t="n"/>
      <c r="K53" s="8">
        <f>D53*I53</f>
        <v/>
      </c>
    </row>
    <row r="54">
      <c r="B54" s="5" t="n">
        <v>3</v>
      </c>
      <c r="C54" s="5" t="n"/>
      <c r="D54" s="5" t="n"/>
      <c r="E54" s="8" t="n"/>
      <c r="F54" s="5" t="n"/>
      <c r="G54" s="5" t="n"/>
      <c r="H54" s="5" t="n"/>
      <c r="I54" s="5" t="n"/>
      <c r="J54" s="5" t="n"/>
      <c r="K54" s="8">
        <f>D54*I54</f>
        <v/>
      </c>
    </row>
    <row r="55">
      <c r="B55" s="5" t="n">
        <v>4</v>
      </c>
      <c r="C55" s="5" t="n"/>
      <c r="D55" s="5" t="n"/>
      <c r="E55" s="8" t="n"/>
      <c r="F55" s="5" t="n"/>
      <c r="G55" s="5" t="n"/>
      <c r="H55" s="5" t="n"/>
      <c r="I55" s="5" t="n"/>
      <c r="J55" s="5" t="n"/>
      <c r="K55" s="8">
        <f>D55*I55</f>
        <v/>
      </c>
    </row>
    <row r="56">
      <c r="B56" s="5" t="n">
        <v>5</v>
      </c>
      <c r="C56" s="5" t="n"/>
      <c r="D56" s="5" t="n"/>
      <c r="E56" s="8" t="n"/>
      <c r="F56" s="5" t="n"/>
      <c r="G56" s="5" t="n"/>
      <c r="H56" s="5" t="n"/>
      <c r="I56" s="5" t="n"/>
      <c r="J56" s="5" t="n"/>
      <c r="K56" s="8" t="n"/>
    </row>
    <row r="57" ht="20" customHeight="1">
      <c r="B57" s="5" t="n">
        <v>6</v>
      </c>
      <c r="C57" s="5" t="n"/>
      <c r="D57" s="5" t="n"/>
      <c r="E57" s="8" t="n"/>
      <c r="F57" s="5" t="n"/>
      <c r="G57" s="5" t="n"/>
      <c r="H57" s="5" t="n"/>
      <c r="I57" s="5" t="n"/>
      <c r="J57" s="5" t="n"/>
      <c r="K57" s="8" t="n"/>
    </row>
    <row r="58">
      <c r="B58" s="5" t="n">
        <v>7</v>
      </c>
      <c r="C58" s="5" t="n"/>
      <c r="D58" s="5" t="n"/>
      <c r="E58" s="8" t="n"/>
      <c r="F58" s="5" t="n"/>
      <c r="G58" s="5" t="n"/>
      <c r="H58" s="5" t="n"/>
      <c r="I58" s="5" t="n"/>
      <c r="J58" s="8">
        <f>D58*F58*G58*H58</f>
        <v/>
      </c>
      <c r="K58" s="8" t="n"/>
    </row>
    <row r="59">
      <c r="B59" s="5" t="n">
        <v>8</v>
      </c>
      <c r="C59" s="5" t="n"/>
      <c r="D59" s="5" t="n"/>
      <c r="E59" s="8" t="n"/>
      <c r="F59" s="5" t="n"/>
      <c r="G59" s="5" t="n"/>
      <c r="H59" s="5" t="n"/>
      <c r="I59" s="5" t="n"/>
      <c r="J59" s="8">
        <f>D59*F59*G59*H59</f>
        <v/>
      </c>
      <c r="K59" s="8" t="n"/>
    </row>
    <row r="60">
      <c r="B60" s="5" t="n">
        <v>9</v>
      </c>
      <c r="C60" s="5" t="n"/>
      <c r="D60" s="5" t="n"/>
      <c r="E60" s="8" t="n"/>
      <c r="F60" s="5" t="n"/>
      <c r="G60" s="5" t="n"/>
      <c r="H60" s="5" t="n"/>
      <c r="I60" s="5" t="n"/>
      <c r="J60" s="8">
        <f>D60*F60*G60*H60</f>
        <v/>
      </c>
      <c r="K60" s="8" t="n"/>
    </row>
    <row r="61">
      <c r="B61" s="5" t="n">
        <v>10</v>
      </c>
      <c r="C61" s="5" t="n"/>
      <c r="D61" s="5" t="n"/>
      <c r="E61" s="8" t="n"/>
      <c r="F61" s="5" t="n"/>
      <c r="G61" s="5" t="n"/>
      <c r="H61" s="5" t="n"/>
      <c r="I61" s="5" t="n"/>
      <c r="J61" s="8">
        <f>D61*F61*G61*H61</f>
        <v/>
      </c>
      <c r="K61" s="8" t="n"/>
    </row>
    <row r="62">
      <c r="J62" s="9">
        <f>D62*F62*G62*H62</f>
        <v/>
      </c>
    </row>
    <row r="63">
      <c r="B63" s="10" t="inlineStr">
        <is>
          <t>Tooling</t>
        </is>
      </c>
    </row>
    <row r="64">
      <c r="B64" s="11" t="inlineStr">
        <is>
          <t>ItemOrder</t>
        </is>
      </c>
      <c r="C64" s="11" t="inlineStr">
        <is>
          <t>Tooling</t>
        </is>
      </c>
      <c r="D64" s="11" t="inlineStr">
        <is>
          <t>Use</t>
        </is>
      </c>
      <c r="E64" s="11" t="inlineStr">
        <is>
          <t>UnitCost</t>
        </is>
      </c>
      <c r="F64" s="11" t="inlineStr">
        <is>
          <t>Unit</t>
        </is>
      </c>
      <c r="G64" s="11" t="inlineStr">
        <is>
          <t>Quantity</t>
        </is>
      </c>
      <c r="H64" s="11" t="inlineStr">
        <is>
          <t>PVF</t>
        </is>
      </c>
      <c r="I64" s="11" t="inlineStr">
        <is>
          <t>FractionIncluded</t>
        </is>
      </c>
      <c r="J64" s="11" t="inlineStr">
        <is>
          <t>Sub Total</t>
        </is>
      </c>
    </row>
    <row r="65">
      <c r="B65" s="5" t="n">
        <v>1</v>
      </c>
      <c r="C65" s="5" t="n"/>
      <c r="D65" s="5" t="n"/>
      <c r="E65" s="8" t="n"/>
      <c r="F65" s="5" t="n"/>
      <c r="G65" s="5" t="n"/>
      <c r="H65" s="5" t="n"/>
      <c r="I65" s="5" t="n"/>
      <c r="J65" s="8" t="n"/>
    </row>
    <row r="66">
      <c r="B66" s="5" t="n">
        <v>2</v>
      </c>
      <c r="C66" s="5" t="n"/>
      <c r="D66" s="5" t="n"/>
      <c r="E66" s="8" t="n"/>
      <c r="F66" s="5" t="n"/>
      <c r="G66" s="5" t="n"/>
      <c r="H66" s="5" t="n"/>
      <c r="I66" s="5" t="n"/>
      <c r="J66" s="8" t="n"/>
    </row>
    <row r="67">
      <c r="B67" s="5" t="n">
        <v>3</v>
      </c>
      <c r="C67" s="5" t="n"/>
      <c r="D67" s="5" t="n"/>
      <c r="E67" s="8" t="n"/>
      <c r="F67" s="5" t="n"/>
      <c r="G67" s="5" t="n"/>
      <c r="H67" s="5" t="n"/>
      <c r="I67" s="5" t="n"/>
      <c r="J67" s="8" t="n"/>
    </row>
    <row r="68">
      <c r="B68" s="5" t="n">
        <v>4</v>
      </c>
      <c r="C68" s="5" t="n"/>
      <c r="D68" s="5" t="n"/>
      <c r="E68" s="8" t="n"/>
      <c r="F68" s="5" t="n"/>
      <c r="G68" s="5" t="n"/>
      <c r="H68" s="5" t="n"/>
      <c r="I68" s="5" t="n"/>
      <c r="J68" s="8" t="n"/>
    </row>
    <row r="69">
      <c r="B69" s="5" t="n">
        <v>5</v>
      </c>
      <c r="C69" s="5" t="n"/>
      <c r="D69" s="5" t="n"/>
      <c r="E69" s="8" t="n"/>
      <c r="F69" s="5" t="n"/>
      <c r="G69" s="5" t="n"/>
      <c r="H69" s="5" t="n"/>
      <c r="I69" s="5" t="n"/>
      <c r="J69" s="8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0"/>
  <mergeCells count="1">
    <mergeCell ref="C7:H7"/>
  </mergeCells>
  <conditionalFormatting sqref="C10:C20">
    <cfRule type="cellIs" priority="1" operator="equal" dxfId="0" stopIfTrue="1">
      <formula>""</formula>
    </cfRule>
  </conditionalFormatting>
  <conditionalFormatting sqref="D10:D20">
    <cfRule type="expression" priority="2" dxfId="1" stopIfTrue="1">
      <formula>AND(C10&lt;&gt;"", D10="")</formula>
    </cfRule>
  </conditionalFormatting>
  <conditionalFormatting sqref="C22:C32">
    <cfRule type="cellIs" priority="3" operator="equal" dxfId="0" stopIfTrue="1">
      <formula>""</formula>
    </cfRule>
  </conditionalFormatting>
  <conditionalFormatting sqref="C34:C44">
    <cfRule type="cellIs" priority="4" operator="equal" dxfId="0" stopIfTrue="1">
      <formula>""</formula>
    </cfRule>
  </conditionalFormatting>
  <conditionalFormatting sqref="C46:C56">
    <cfRule type="cellIs" priority="5" operator="equal" dxfId="1" stopIfTrue="1">
      <formula>""</formula>
    </cfRule>
  </conditionalFormatting>
  <conditionalFormatting sqref="C58:C63">
    <cfRule type="cellIs" priority="6" operator="equal" dxfId="1" stopIfTrue="1">
      <formula>""</formula>
    </cfRule>
  </conditionalFormatting>
  <pageMargins left="0.5" right="0.5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2" max="2"/>
    <col width="25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B1" s="2" t="inlineStr">
        <is>
          <t>University:</t>
        </is>
      </c>
      <c r="C1" t="inlineStr">
        <is>
          <t>Ajeenkya DY Patil University</t>
        </is>
      </c>
    </row>
    <row r="2">
      <c r="B2" s="2" t="inlineStr">
        <is>
          <t>Team Name:</t>
        </is>
      </c>
      <c r="C2" t="inlineStr">
        <is>
          <t>Javitron</t>
        </is>
      </c>
    </row>
    <row r="3">
      <c r="B3" s="2" t="inlineStr">
        <is>
          <t>System:</t>
        </is>
      </c>
      <c r="C3" t="inlineStr">
        <is>
          <t>Wheels</t>
        </is>
      </c>
    </row>
    <row r="4">
      <c r="B4" s="2" t="inlineStr">
        <is>
          <t>Assembly:</t>
        </is>
      </c>
    </row>
    <row r="5">
      <c r="B5" s="2" t="inlineStr">
        <is>
          <t>P/N Base:</t>
        </is>
      </c>
      <c r="C5" t="inlineStr">
        <is>
          <t>WT-XX-001</t>
        </is>
      </c>
    </row>
    <row r="6">
      <c r="B6" s="2" t="inlineStr">
        <is>
          <t>Suffix:</t>
        </is>
      </c>
    </row>
    <row r="7">
      <c r="B7" s="2" t="inlineStr">
        <is>
          <t>Details:</t>
        </is>
      </c>
    </row>
    <row r="8"/>
    <row r="9" ht="20" customHeight="1">
      <c r="B9" s="2" t="inlineStr">
        <is>
          <t>Car #:</t>
        </is>
      </c>
      <c r="D9" s="2" t="inlineStr">
        <is>
          <t>Asm Cost:</t>
        </is>
      </c>
      <c r="E9" s="9">
        <f>0</f>
        <v/>
      </c>
      <c r="F9" s="2" t="inlineStr">
        <is>
          <t>Qty:</t>
        </is>
      </c>
      <c r="G9" t="inlineStr">
        <is>
          <t>1</t>
        </is>
      </c>
      <c r="H9" s="2" t="inlineStr">
        <is>
          <t>Extended Cost:</t>
        </is>
      </c>
      <c r="I9" s="9">
        <f>E*G</f>
        <v/>
      </c>
    </row>
    <row r="10">
      <c r="F10" s="9">
        <f>D10*E10</f>
        <v/>
      </c>
    </row>
    <row r="11">
      <c r="B11" s="10" t="inlineStr">
        <is>
          <t>Parts</t>
        </is>
      </c>
      <c r="F11" s="9">
        <f>D11*E11</f>
        <v/>
      </c>
    </row>
    <row r="12">
      <c r="B12" s="4" t="inlineStr">
        <is>
          <t>ItemOrder</t>
        </is>
      </c>
      <c r="C12" s="4" t="inlineStr">
        <is>
          <t>Part</t>
        </is>
      </c>
      <c r="D12" s="4" t="inlineStr">
        <is>
          <t>Part Cost</t>
        </is>
      </c>
      <c r="E12" s="4" t="inlineStr">
        <is>
          <t>Quantity</t>
        </is>
      </c>
      <c r="F12" s="14">
        <f>D12*E12</f>
        <v/>
      </c>
    </row>
    <row r="13">
      <c r="B13" s="5" t="n">
        <v>1</v>
      </c>
      <c r="C13" s="5" t="n"/>
      <c r="D13" s="5" t="n"/>
      <c r="E13" s="8" t="n"/>
      <c r="F13" s="8">
        <f>D13*E13</f>
        <v/>
      </c>
    </row>
    <row r="14">
      <c r="B14" s="5" t="n">
        <v>2</v>
      </c>
      <c r="C14" s="5" t="n"/>
      <c r="D14" s="5" t="n"/>
      <c r="E14" s="8" t="n"/>
      <c r="F14" s="8">
        <f>D14*E14</f>
        <v/>
      </c>
    </row>
    <row r="15">
      <c r="B15" s="5" t="n">
        <v>3</v>
      </c>
      <c r="C15" s="5" t="n"/>
      <c r="D15" s="5" t="n"/>
      <c r="E15" s="8" t="n"/>
      <c r="F15" s="8">
        <f>D15*E15</f>
        <v/>
      </c>
    </row>
    <row r="16">
      <c r="B16" s="5" t="n">
        <v>4</v>
      </c>
      <c r="C16" s="5" t="n"/>
      <c r="D16" s="5" t="n"/>
      <c r="E16" s="8" t="n"/>
      <c r="F16" s="8">
        <f>D16*E16</f>
        <v/>
      </c>
    </row>
    <row r="17">
      <c r="B17" s="5" t="n">
        <v>5</v>
      </c>
      <c r="C17" s="5" t="n"/>
      <c r="D17" s="5" t="n"/>
      <c r="E17" s="8" t="n"/>
      <c r="F17" s="8">
        <f>D17*E17</f>
        <v/>
      </c>
    </row>
    <row r="18">
      <c r="B18" s="5" t="n">
        <v>6</v>
      </c>
      <c r="C18" s="5" t="n"/>
      <c r="D18" s="5" t="n"/>
      <c r="E18" s="8" t="n"/>
      <c r="F18" s="8">
        <f>D18*E18</f>
        <v/>
      </c>
    </row>
    <row r="19">
      <c r="B19" s="5" t="n">
        <v>7</v>
      </c>
      <c r="C19" s="5" t="n"/>
      <c r="D19" s="5" t="n"/>
      <c r="E19" s="8" t="n"/>
      <c r="F19" s="8">
        <f>D19*E19</f>
        <v/>
      </c>
    </row>
    <row r="20">
      <c r="B20" s="5" t="n">
        <v>8</v>
      </c>
      <c r="C20" s="5" t="n"/>
      <c r="D20" s="5" t="n"/>
      <c r="E20" s="8" t="n"/>
      <c r="F20" s="8" t="n"/>
    </row>
    <row r="21" ht="20" customHeight="1">
      <c r="B21" s="5" t="n">
        <v>9</v>
      </c>
      <c r="C21" s="5" t="n"/>
      <c r="D21" s="5" t="n"/>
      <c r="E21" s="8" t="n"/>
      <c r="F21" s="8" t="n"/>
    </row>
    <row r="22">
      <c r="B22" s="5" t="n">
        <v>10</v>
      </c>
      <c r="C22" s="5" t="n"/>
      <c r="D22" s="5" t="n"/>
      <c r="E22" s="8" t="n"/>
      <c r="F22" s="8" t="n"/>
      <c r="O22" s="9">
        <f>D22*M22</f>
        <v/>
      </c>
    </row>
    <row r="23">
      <c r="O23" s="9">
        <f>D23*M23</f>
        <v/>
      </c>
    </row>
    <row r="24">
      <c r="B24" s="10" t="inlineStr">
        <is>
          <t>Materials</t>
        </is>
      </c>
      <c r="O24" s="9">
        <f>D24*M24</f>
        <v/>
      </c>
    </row>
    <row r="25">
      <c r="B25" s="11" t="inlineStr">
        <is>
          <t>ItemOrder</t>
        </is>
      </c>
      <c r="C25" s="11" t="inlineStr">
        <is>
          <t>Material</t>
        </is>
      </c>
      <c r="D25" s="11" t="inlineStr">
        <is>
          <t>Use</t>
        </is>
      </c>
      <c r="E25" s="11" t="inlineStr">
        <is>
          <t>UnitCost</t>
        </is>
      </c>
      <c r="F25" s="11" t="inlineStr">
        <is>
          <t>Unit</t>
        </is>
      </c>
      <c r="G25" s="11" t="inlineStr">
        <is>
          <t>Size1</t>
        </is>
      </c>
      <c r="H25" s="11" t="inlineStr">
        <is>
          <t>Unit1</t>
        </is>
      </c>
      <c r="I25" s="11" t="inlineStr">
        <is>
          <t>Size2</t>
        </is>
      </c>
      <c r="J25" s="11" t="inlineStr">
        <is>
          <t>Unit2</t>
        </is>
      </c>
      <c r="K25" s="11" t="inlineStr">
        <is>
          <t>Area</t>
        </is>
      </c>
      <c r="L25" s="11" t="inlineStr">
        <is>
          <t>Length</t>
        </is>
      </c>
      <c r="M25" s="11" t="inlineStr">
        <is>
          <t>Density</t>
        </is>
      </c>
      <c r="N25" s="11" t="inlineStr">
        <is>
          <t>Quantity</t>
        </is>
      </c>
      <c r="O25" s="15">
        <f>D25*M25</f>
        <v/>
      </c>
    </row>
    <row r="26">
      <c r="B26" s="5" t="n">
        <v>1</v>
      </c>
      <c r="C26" s="5" t="n"/>
      <c r="D26" s="5" t="n"/>
      <c r="E26" s="8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8">
        <f>D26*M26</f>
        <v/>
      </c>
    </row>
    <row r="27">
      <c r="B27" s="5" t="n">
        <v>2</v>
      </c>
      <c r="C27" s="5" t="n"/>
      <c r="D27" s="5" t="n"/>
      <c r="E27" s="8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8">
        <f>D27*M27</f>
        <v/>
      </c>
    </row>
    <row r="28">
      <c r="B28" s="5" t="n">
        <v>3</v>
      </c>
      <c r="C28" s="5" t="n"/>
      <c r="D28" s="5" t="n"/>
      <c r="E28" s="8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8">
        <f>D28*M28</f>
        <v/>
      </c>
    </row>
    <row r="29">
      <c r="B29" s="5" t="n">
        <v>4</v>
      </c>
      <c r="C29" s="5" t="n"/>
      <c r="D29" s="5" t="n"/>
      <c r="E29" s="8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8">
        <f>D29*M29</f>
        <v/>
      </c>
    </row>
    <row r="30">
      <c r="B30" s="5" t="n">
        <v>5</v>
      </c>
      <c r="C30" s="5" t="n"/>
      <c r="D30" s="5" t="n"/>
      <c r="E30" s="8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8">
        <f>D30*M30</f>
        <v/>
      </c>
    </row>
    <row r="31">
      <c r="B31" s="5" t="n">
        <v>6</v>
      </c>
      <c r="C31" s="5" t="n"/>
      <c r="D31" s="5" t="n"/>
      <c r="E31" s="8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8">
        <f>D31*M31</f>
        <v/>
      </c>
    </row>
    <row r="32">
      <c r="B32" s="5" t="n">
        <v>7</v>
      </c>
      <c r="C32" s="5" t="n"/>
      <c r="D32" s="5" t="n"/>
      <c r="E32" s="8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8" t="n"/>
    </row>
    <row r="33" ht="20" customHeight="1">
      <c r="B33" s="5" t="n">
        <v>8</v>
      </c>
      <c r="C33" s="5" t="n"/>
      <c r="D33" s="5" t="n"/>
      <c r="E33" s="8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8" t="n"/>
    </row>
    <row r="34">
      <c r="B34" s="5" t="n">
        <v>9</v>
      </c>
      <c r="C34" s="5" t="n"/>
      <c r="D34" s="5" t="n"/>
      <c r="E34" s="8" t="n"/>
      <c r="F34" s="5" t="n"/>
      <c r="G34" s="5" t="n"/>
      <c r="H34" s="5" t="n"/>
      <c r="I34" s="5" t="n"/>
      <c r="J34" s="8">
        <f>D34*F34*H34</f>
        <v/>
      </c>
      <c r="K34" s="5" t="n"/>
      <c r="L34" s="5" t="n"/>
      <c r="M34" s="5" t="n"/>
      <c r="N34" s="5" t="n"/>
      <c r="O34" s="8" t="n"/>
    </row>
    <row r="35">
      <c r="B35" s="5" t="n">
        <v>10</v>
      </c>
      <c r="C35" s="5" t="n"/>
      <c r="D35" s="5" t="n"/>
      <c r="E35" s="8" t="n"/>
      <c r="F35" s="5" t="n"/>
      <c r="G35" s="5" t="n"/>
      <c r="H35" s="5" t="n"/>
      <c r="I35" s="5" t="n"/>
      <c r="J35" s="8">
        <f>D35*F35*H35</f>
        <v/>
      </c>
      <c r="K35" s="5" t="n"/>
      <c r="L35" s="5" t="n"/>
      <c r="M35" s="5" t="n"/>
      <c r="N35" s="5" t="n"/>
      <c r="O35" s="8" t="n"/>
    </row>
    <row r="36">
      <c r="J36" s="9">
        <f>D36*F36*H36</f>
        <v/>
      </c>
    </row>
    <row r="37">
      <c r="B37" s="10" t="inlineStr">
        <is>
          <t>Processes</t>
        </is>
      </c>
      <c r="J37" s="9">
        <f>D37*F37*H37</f>
        <v/>
      </c>
    </row>
    <row r="38">
      <c r="B38" s="11" t="inlineStr">
        <is>
          <t>ItemOrder</t>
        </is>
      </c>
      <c r="C38" s="11" t="inlineStr">
        <is>
          <t>Process</t>
        </is>
      </c>
      <c r="D38" s="11" t="inlineStr">
        <is>
          <t>Use</t>
        </is>
      </c>
      <c r="E38" s="11" t="inlineStr">
        <is>
          <t>UnitCost</t>
        </is>
      </c>
      <c r="F38" s="11" t="inlineStr">
        <is>
          <t>Unit</t>
        </is>
      </c>
      <c r="G38" s="11" t="inlineStr">
        <is>
          <t>Quantity</t>
        </is>
      </c>
      <c r="H38" s="11" t="inlineStr">
        <is>
          <t>Multiplier</t>
        </is>
      </c>
      <c r="I38" s="11" t="inlineStr">
        <is>
          <t>Mult. Val.</t>
        </is>
      </c>
      <c r="J38" s="15">
        <f>D38*F38*H38</f>
        <v/>
      </c>
    </row>
    <row r="39">
      <c r="B39" s="5" t="n">
        <v>1</v>
      </c>
      <c r="C39" s="5" t="n"/>
      <c r="D39" s="5" t="n"/>
      <c r="E39" s="8" t="n"/>
      <c r="F39" s="5" t="n"/>
      <c r="G39" s="5" t="n"/>
      <c r="H39" s="5" t="n"/>
      <c r="I39" s="5" t="n"/>
      <c r="J39" s="8">
        <f>D39*F39*H39</f>
        <v/>
      </c>
    </row>
    <row r="40">
      <c r="B40" s="5" t="n">
        <v>2</v>
      </c>
      <c r="C40" s="5" t="n"/>
      <c r="D40" s="5" t="n"/>
      <c r="E40" s="8" t="n"/>
      <c r="F40" s="5" t="n"/>
      <c r="G40" s="5" t="n"/>
      <c r="H40" s="5" t="n"/>
      <c r="I40" s="5" t="n"/>
      <c r="J40" s="8">
        <f>D40*F40*H40</f>
        <v/>
      </c>
    </row>
    <row r="41">
      <c r="B41" s="5" t="n">
        <v>3</v>
      </c>
      <c r="C41" s="5" t="n"/>
      <c r="D41" s="5" t="n"/>
      <c r="E41" s="8" t="n"/>
      <c r="F41" s="5" t="n"/>
      <c r="G41" s="5" t="n"/>
      <c r="H41" s="5" t="n"/>
      <c r="I41" s="5" t="n"/>
      <c r="J41" s="8">
        <f>D41*F41*H41</f>
        <v/>
      </c>
    </row>
    <row r="42">
      <c r="B42" s="5" t="n">
        <v>4</v>
      </c>
      <c r="C42" s="5" t="n"/>
      <c r="D42" s="5" t="n"/>
      <c r="E42" s="8" t="n"/>
      <c r="F42" s="5" t="n"/>
      <c r="G42" s="5" t="n"/>
      <c r="H42" s="5" t="n"/>
      <c r="I42" s="5" t="n"/>
      <c r="J42" s="8">
        <f>D42*F42*H42</f>
        <v/>
      </c>
    </row>
    <row r="43">
      <c r="B43" s="5" t="n">
        <v>5</v>
      </c>
      <c r="C43" s="5" t="n"/>
      <c r="D43" s="5" t="n"/>
      <c r="E43" s="8" t="n"/>
      <c r="F43" s="5" t="n"/>
      <c r="G43" s="5" t="n"/>
      <c r="H43" s="5" t="n"/>
      <c r="I43" s="5" t="n"/>
      <c r="J43" s="8">
        <f>D43*F43*H43</f>
        <v/>
      </c>
    </row>
    <row r="44">
      <c r="B44" s="5" t="n">
        <v>6</v>
      </c>
      <c r="C44" s="5" t="n"/>
      <c r="D44" s="5" t="n"/>
      <c r="E44" s="8" t="n"/>
      <c r="F44" s="5" t="n"/>
      <c r="G44" s="5" t="n"/>
      <c r="H44" s="5" t="n"/>
      <c r="I44" s="5" t="n"/>
      <c r="J44" s="8" t="n"/>
    </row>
    <row r="45" ht="20" customHeight="1">
      <c r="B45" s="5" t="n">
        <v>7</v>
      </c>
      <c r="C45" s="5" t="n"/>
      <c r="D45" s="5" t="n"/>
      <c r="E45" s="8" t="n"/>
      <c r="F45" s="5" t="n"/>
      <c r="G45" s="5" t="n"/>
      <c r="H45" s="5" t="n"/>
      <c r="I45" s="5" t="n"/>
      <c r="J45" s="8" t="n"/>
    </row>
    <row r="46">
      <c r="B46" s="5" t="n">
        <v>8</v>
      </c>
      <c r="C46" s="5" t="n"/>
      <c r="D46" s="5" t="n"/>
      <c r="E46" s="8" t="n"/>
      <c r="F46" s="5" t="n"/>
      <c r="G46" s="5" t="n"/>
      <c r="H46" s="5" t="n"/>
      <c r="I46" s="5" t="n"/>
      <c r="J46" s="8" t="n"/>
      <c r="K46" s="9">
        <f>D46*I46</f>
        <v/>
      </c>
    </row>
    <row r="47">
      <c r="B47" s="5" t="n">
        <v>9</v>
      </c>
      <c r="C47" s="5" t="n"/>
      <c r="D47" s="5" t="n"/>
      <c r="E47" s="8" t="n"/>
      <c r="F47" s="5" t="n"/>
      <c r="G47" s="5" t="n"/>
      <c r="H47" s="5" t="n"/>
      <c r="I47" s="5" t="n"/>
      <c r="J47" s="8" t="n"/>
      <c r="K47" s="9">
        <f>D47*I47</f>
        <v/>
      </c>
    </row>
    <row r="48">
      <c r="B48" s="5" t="n">
        <v>10</v>
      </c>
      <c r="C48" s="5" t="n"/>
      <c r="D48" s="5" t="n"/>
      <c r="E48" s="8" t="n"/>
      <c r="F48" s="5" t="n"/>
      <c r="G48" s="5" t="n"/>
      <c r="H48" s="5" t="n"/>
      <c r="I48" s="5" t="n"/>
      <c r="J48" s="8" t="n"/>
      <c r="K48" s="9">
        <f>D48*I48</f>
        <v/>
      </c>
    </row>
    <row r="49">
      <c r="K49" s="9">
        <f>D49*I49</f>
        <v/>
      </c>
    </row>
    <row r="50">
      <c r="B50" s="10" t="inlineStr">
        <is>
          <t>Fasteners</t>
        </is>
      </c>
      <c r="K50" s="9">
        <f>D50*I50</f>
        <v/>
      </c>
    </row>
    <row r="51">
      <c r="B51" s="11" t="inlineStr">
        <is>
          <t>ItemOrder</t>
        </is>
      </c>
      <c r="C51" s="11" t="inlineStr">
        <is>
          <t>Fastener</t>
        </is>
      </c>
      <c r="D51" s="11" t="inlineStr">
        <is>
          <t>Use</t>
        </is>
      </c>
      <c r="E51" s="11" t="inlineStr">
        <is>
          <t>UnitCost</t>
        </is>
      </c>
      <c r="F51" s="11" t="inlineStr">
        <is>
          <t>Size1</t>
        </is>
      </c>
      <c r="G51" s="11" t="inlineStr">
        <is>
          <t>Unit1</t>
        </is>
      </c>
      <c r="H51" s="11" t="inlineStr">
        <is>
          <t>Size2</t>
        </is>
      </c>
      <c r="I51" s="11" t="inlineStr">
        <is>
          <t>Unit2</t>
        </is>
      </c>
      <c r="J51" s="11" t="inlineStr">
        <is>
          <t>Quantity</t>
        </is>
      </c>
      <c r="K51" s="15">
        <f>D51*I51</f>
        <v/>
      </c>
    </row>
    <row r="52">
      <c r="B52" s="5" t="n">
        <v>1</v>
      </c>
      <c r="C52" s="5" t="n"/>
      <c r="D52" s="5" t="n"/>
      <c r="E52" s="8" t="n"/>
      <c r="F52" s="5" t="n"/>
      <c r="G52" s="5" t="n"/>
      <c r="H52" s="5" t="n"/>
      <c r="I52" s="5" t="n"/>
      <c r="J52" s="5" t="n"/>
      <c r="K52" s="8">
        <f>D52*I52</f>
        <v/>
      </c>
    </row>
    <row r="53">
      <c r="B53" s="5" t="n">
        <v>2</v>
      </c>
      <c r="C53" s="5" t="n"/>
      <c r="D53" s="5" t="n"/>
      <c r="E53" s="8" t="n"/>
      <c r="F53" s="5" t="n"/>
      <c r="G53" s="5" t="n"/>
      <c r="H53" s="5" t="n"/>
      <c r="I53" s="5" t="n"/>
      <c r="J53" s="5" t="n"/>
      <c r="K53" s="8">
        <f>D53*I53</f>
        <v/>
      </c>
    </row>
    <row r="54">
      <c r="B54" s="5" t="n">
        <v>3</v>
      </c>
      <c r="C54" s="5" t="n"/>
      <c r="D54" s="5" t="n"/>
      <c r="E54" s="8" t="n"/>
      <c r="F54" s="5" t="n"/>
      <c r="G54" s="5" t="n"/>
      <c r="H54" s="5" t="n"/>
      <c r="I54" s="5" t="n"/>
      <c r="J54" s="5" t="n"/>
      <c r="K54" s="8">
        <f>D54*I54</f>
        <v/>
      </c>
    </row>
    <row r="55">
      <c r="B55" s="5" t="n">
        <v>4</v>
      </c>
      <c r="C55" s="5" t="n"/>
      <c r="D55" s="5" t="n"/>
      <c r="E55" s="8" t="n"/>
      <c r="F55" s="5" t="n"/>
      <c r="G55" s="5" t="n"/>
      <c r="H55" s="5" t="n"/>
      <c r="I55" s="5" t="n"/>
      <c r="J55" s="5" t="n"/>
      <c r="K55" s="8">
        <f>D55*I55</f>
        <v/>
      </c>
    </row>
    <row r="56">
      <c r="B56" s="5" t="n">
        <v>5</v>
      </c>
      <c r="C56" s="5" t="n"/>
      <c r="D56" s="5" t="n"/>
      <c r="E56" s="8" t="n"/>
      <c r="F56" s="5" t="n"/>
      <c r="G56" s="5" t="n"/>
      <c r="H56" s="5" t="n"/>
      <c r="I56" s="5" t="n"/>
      <c r="J56" s="5" t="n"/>
      <c r="K56" s="8" t="n"/>
    </row>
    <row r="57" ht="20" customHeight="1">
      <c r="B57" s="5" t="n">
        <v>6</v>
      </c>
      <c r="C57" s="5" t="n"/>
      <c r="D57" s="5" t="n"/>
      <c r="E57" s="8" t="n"/>
      <c r="F57" s="5" t="n"/>
      <c r="G57" s="5" t="n"/>
      <c r="H57" s="5" t="n"/>
      <c r="I57" s="5" t="n"/>
      <c r="J57" s="5" t="n"/>
      <c r="K57" s="8" t="n"/>
    </row>
    <row r="58">
      <c r="B58" s="5" t="n">
        <v>7</v>
      </c>
      <c r="C58" s="5" t="n"/>
      <c r="D58" s="5" t="n"/>
      <c r="E58" s="8" t="n"/>
      <c r="F58" s="5" t="n"/>
      <c r="G58" s="5" t="n"/>
      <c r="H58" s="5" t="n"/>
      <c r="I58" s="5" t="n"/>
      <c r="J58" s="8">
        <f>D58*F58*G58*H58</f>
        <v/>
      </c>
      <c r="K58" s="8" t="n"/>
    </row>
    <row r="59">
      <c r="B59" s="5" t="n">
        <v>8</v>
      </c>
      <c r="C59" s="5" t="n"/>
      <c r="D59" s="5" t="n"/>
      <c r="E59" s="8" t="n"/>
      <c r="F59" s="5" t="n"/>
      <c r="G59" s="5" t="n"/>
      <c r="H59" s="5" t="n"/>
      <c r="I59" s="5" t="n"/>
      <c r="J59" s="8">
        <f>D59*F59*G59*H59</f>
        <v/>
      </c>
      <c r="K59" s="8" t="n"/>
    </row>
    <row r="60">
      <c r="B60" s="5" t="n">
        <v>9</v>
      </c>
      <c r="C60" s="5" t="n"/>
      <c r="D60" s="5" t="n"/>
      <c r="E60" s="8" t="n"/>
      <c r="F60" s="5" t="n"/>
      <c r="G60" s="5" t="n"/>
      <c r="H60" s="5" t="n"/>
      <c r="I60" s="5" t="n"/>
      <c r="J60" s="8">
        <f>D60*F60*G60*H60</f>
        <v/>
      </c>
      <c r="K60" s="8" t="n"/>
    </row>
    <row r="61">
      <c r="B61" s="5" t="n">
        <v>10</v>
      </c>
      <c r="C61" s="5" t="n"/>
      <c r="D61" s="5" t="n"/>
      <c r="E61" s="8" t="n"/>
      <c r="F61" s="5" t="n"/>
      <c r="G61" s="5" t="n"/>
      <c r="H61" s="5" t="n"/>
      <c r="I61" s="5" t="n"/>
      <c r="J61" s="8">
        <f>D61*F61*G61*H61</f>
        <v/>
      </c>
      <c r="K61" s="8" t="n"/>
    </row>
    <row r="62">
      <c r="J62" s="9">
        <f>D62*F62*G62*H62</f>
        <v/>
      </c>
    </row>
    <row r="63">
      <c r="B63" s="10" t="inlineStr">
        <is>
          <t>Tooling</t>
        </is>
      </c>
    </row>
    <row r="64">
      <c r="B64" s="11" t="inlineStr">
        <is>
          <t>ItemOrder</t>
        </is>
      </c>
      <c r="C64" s="11" t="inlineStr">
        <is>
          <t>Tooling</t>
        </is>
      </c>
      <c r="D64" s="11" t="inlineStr">
        <is>
          <t>Use</t>
        </is>
      </c>
      <c r="E64" s="11" t="inlineStr">
        <is>
          <t>UnitCost</t>
        </is>
      </c>
      <c r="F64" s="11" t="inlineStr">
        <is>
          <t>Unit</t>
        </is>
      </c>
      <c r="G64" s="11" t="inlineStr">
        <is>
          <t>Quantity</t>
        </is>
      </c>
      <c r="H64" s="11" t="inlineStr">
        <is>
          <t>PVF</t>
        </is>
      </c>
      <c r="I64" s="11" t="inlineStr">
        <is>
          <t>FractionIncluded</t>
        </is>
      </c>
      <c r="J64" s="11" t="inlineStr">
        <is>
          <t>Sub Total</t>
        </is>
      </c>
    </row>
    <row r="65">
      <c r="B65" s="5" t="n">
        <v>1</v>
      </c>
      <c r="C65" s="5" t="n"/>
      <c r="D65" s="5" t="n"/>
      <c r="E65" s="8" t="n"/>
      <c r="F65" s="5" t="n"/>
      <c r="G65" s="5" t="n"/>
      <c r="H65" s="5" t="n"/>
      <c r="I65" s="5" t="n"/>
      <c r="J65" s="8" t="n"/>
    </row>
    <row r="66">
      <c r="B66" s="5" t="n">
        <v>2</v>
      </c>
      <c r="C66" s="5" t="n"/>
      <c r="D66" s="5" t="n"/>
      <c r="E66" s="8" t="n"/>
      <c r="F66" s="5" t="n"/>
      <c r="G66" s="5" t="n"/>
      <c r="H66" s="5" t="n"/>
      <c r="I66" s="5" t="n"/>
      <c r="J66" s="8" t="n"/>
    </row>
    <row r="67">
      <c r="B67" s="5" t="n">
        <v>3</v>
      </c>
      <c r="C67" s="5" t="n"/>
      <c r="D67" s="5" t="n"/>
      <c r="E67" s="8" t="n"/>
      <c r="F67" s="5" t="n"/>
      <c r="G67" s="5" t="n"/>
      <c r="H67" s="5" t="n"/>
      <c r="I67" s="5" t="n"/>
      <c r="J67" s="8" t="n"/>
    </row>
    <row r="68">
      <c r="B68" s="5" t="n">
        <v>4</v>
      </c>
      <c r="C68" s="5" t="n"/>
      <c r="D68" s="5" t="n"/>
      <c r="E68" s="8" t="n"/>
      <c r="F68" s="5" t="n"/>
      <c r="G68" s="5" t="n"/>
      <c r="H68" s="5" t="n"/>
      <c r="I68" s="5" t="n"/>
      <c r="J68" s="8" t="n"/>
    </row>
    <row r="69">
      <c r="B69" s="5" t="n">
        <v>5</v>
      </c>
      <c r="C69" s="5" t="n"/>
      <c r="D69" s="5" t="n"/>
      <c r="E69" s="8" t="n"/>
      <c r="F69" s="5" t="n"/>
      <c r="G69" s="5" t="n"/>
      <c r="H69" s="5" t="n"/>
      <c r="I69" s="5" t="n"/>
      <c r="J69" s="8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0"/>
  <mergeCells count="1">
    <mergeCell ref="C7:H7"/>
  </mergeCells>
  <conditionalFormatting sqref="C10:C20">
    <cfRule type="cellIs" priority="1" operator="equal" dxfId="0" stopIfTrue="1">
      <formula>""</formula>
    </cfRule>
  </conditionalFormatting>
  <conditionalFormatting sqref="D10:D20">
    <cfRule type="expression" priority="2" dxfId="1" stopIfTrue="1">
      <formula>AND(C10&lt;&gt;"", D10="")</formula>
    </cfRule>
  </conditionalFormatting>
  <conditionalFormatting sqref="C22:C32">
    <cfRule type="cellIs" priority="3" operator="equal" dxfId="0" stopIfTrue="1">
      <formula>""</formula>
    </cfRule>
  </conditionalFormatting>
  <conditionalFormatting sqref="C34:C44">
    <cfRule type="cellIs" priority="4" operator="equal" dxfId="0" stopIfTrue="1">
      <formula>""</formula>
    </cfRule>
  </conditionalFormatting>
  <conditionalFormatting sqref="C46:C56">
    <cfRule type="cellIs" priority="5" operator="equal" dxfId="1" stopIfTrue="1">
      <formula>""</formula>
    </cfRule>
  </conditionalFormatting>
  <conditionalFormatting sqref="C58:C63">
    <cfRule type="cellIs" priority="6" operator="equal" dxfId="1" stopIfTrue="1">
      <formula>""</formula>
    </cfRule>
  </conditionalFormatting>
  <pageMargins left="0.5" right="0.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2026-04-21T17:44:53Z</dcterms:created>
  <dcterms:modified xsi:type="dcterms:W3CDTF">2026-04-21T17:46:44Z</dcterms:modified>
</cp:coreProperties>
</file>